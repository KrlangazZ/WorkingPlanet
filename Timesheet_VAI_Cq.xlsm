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825" yWindow="-180" windowWidth="11100" windowHeight="8055" tabRatio="601"/>
  </bookViews>
  <sheets>
    <sheet name="Hoja1" sheetId="1" r:id="rId1"/>
    <sheet name="Resumen de Proyectos" sheetId="3" r:id="rId2"/>
    <sheet name="Trabajadores" sheetId="5" r:id="rId3"/>
  </sheets>
  <functionGroups/>
  <calcPr calcId="125725"/>
</workbook>
</file>

<file path=xl/calcChain.xml><?xml version="1.0" encoding="utf-8"?>
<calcChain xmlns="http://schemas.openxmlformats.org/spreadsheetml/2006/main">
  <c r="AK31" i="1"/>
  <c r="AK30"/>
  <c r="AK29"/>
  <c r="AK28"/>
  <c r="AK27"/>
  <c r="AK26"/>
  <c r="AK25"/>
  <c r="AK24"/>
  <c r="AK23"/>
  <c r="AK22"/>
  <c r="AK21"/>
  <c r="AK20"/>
  <c r="AK19"/>
  <c r="AK18"/>
  <c r="AK17"/>
  <c r="AK16"/>
  <c r="AK15"/>
  <c r="AK32" l="1"/>
  <c r="A50"/>
  <c r="C6"/>
  <c r="B5"/>
  <c r="B4"/>
  <c r="A15"/>
  <c r="A16" s="1"/>
  <c r="A17" s="1"/>
  <c r="A18" s="1"/>
  <c r="A19" s="1"/>
  <c r="A20" s="1"/>
  <c r="A21" s="1"/>
  <c r="A22" s="1"/>
  <c r="A23" s="1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G32"/>
  <c r="F32"/>
  <c r="A45"/>
  <c r="A13" l="1"/>
  <c r="C7" l="1"/>
  <c r="D8" s="1"/>
  <c r="B8" s="1"/>
  <c r="B7"/>
  <c r="F13" s="1"/>
  <c r="A25" i="3"/>
  <c r="A26" s="1"/>
  <c r="A46"/>
  <c r="A47"/>
  <c r="A45"/>
  <c r="A42"/>
  <c r="A43"/>
  <c r="A41"/>
  <c r="A36"/>
  <c r="A37"/>
  <c r="A38" s="1"/>
  <c r="A39" s="1"/>
  <c r="A35"/>
  <c r="A33"/>
  <c r="A29"/>
  <c r="A30"/>
  <c r="A31" s="1"/>
  <c r="A28"/>
  <c r="A16"/>
  <c r="A17"/>
  <c r="A18" s="1"/>
  <c r="A19" s="1"/>
  <c r="A20" s="1"/>
  <c r="A21" s="1"/>
  <c r="A22" s="1"/>
  <c r="A23" s="1"/>
  <c r="A15"/>
  <c r="A10"/>
  <c r="A9"/>
  <c r="A8"/>
  <c r="A7"/>
  <c r="F14" i="1" l="1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B10"/>
  <c r="G14" l="1"/>
  <c r="I14"/>
  <c r="H14"/>
  <c r="J14" l="1"/>
  <c r="K14" l="1"/>
  <c r="L14" l="1"/>
  <c r="M14" l="1"/>
  <c r="N14" l="1"/>
  <c r="O14" l="1"/>
  <c r="P14" l="1"/>
  <c r="Q14" l="1"/>
  <c r="R14" l="1"/>
  <c r="S14" l="1"/>
  <c r="T14" l="1"/>
  <c r="U14" l="1"/>
  <c r="V14" l="1"/>
  <c r="W14" l="1"/>
  <c r="X14" l="1"/>
  <c r="Y14" l="1"/>
  <c r="Z14" l="1"/>
  <c r="AA14" l="1"/>
  <c r="AB14" l="1"/>
  <c r="AC14" l="1"/>
  <c r="AD14" l="1"/>
  <c r="AE14" l="1"/>
  <c r="AF14" l="1"/>
  <c r="AG14" l="1"/>
  <c r="AH14" l="1"/>
  <c r="AI14" l="1"/>
  <c r="AJ14" l="1"/>
</calcChain>
</file>

<file path=xl/comments1.xml><?xml version="1.0" encoding="utf-8"?>
<comments xmlns="http://schemas.openxmlformats.org/spreadsheetml/2006/main">
  <authors>
    <author>Queso</author>
  </authors>
  <commentList>
    <comment ref="F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J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K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L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M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N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O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P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Q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T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U20" authorId="0">
      <text>
        <r>
          <rPr>
            <b/>
            <sz val="9"/>
            <color indexed="81"/>
            <rFont val="Tahoma"/>
            <charset val="1"/>
          </rPr>
          <t xml:space="preserve">Calibracion Modelo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A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B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C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D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E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H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I20" authorId="0">
      <text>
        <r>
          <rPr>
            <b/>
            <sz val="9"/>
            <color indexed="81"/>
            <rFont val="Tahoma"/>
            <charset val="1"/>
          </rPr>
          <t xml:space="preserve">Informe
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<sst xmlns="http://schemas.openxmlformats.org/spreadsheetml/2006/main" count="181" uniqueCount="153">
  <si>
    <t>Octubre</t>
  </si>
  <si>
    <t>Mes: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</si>
  <si>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</si>
  <si>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</si>
  <si>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</si>
  <si>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</si>
  <si>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</si>
  <si>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</si>
  <si>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</si>
  <si>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</si>
  <si>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</si>
  <si>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Noviembre</t>
  </si>
  <si>
    <t>Diciembre</t>
  </si>
  <si>
    <t>Tarea</t>
  </si>
  <si>
    <t>Numero</t>
  </si>
  <si>
    <t>Dia Semana</t>
  </si>
  <si>
    <t>Nombre:</t>
  </si>
  <si>
    <t>Fecha Inicio:</t>
  </si>
  <si>
    <t>Fecha Termino:</t>
  </si>
  <si>
    <t>Ingreso de Horas</t>
  </si>
  <si>
    <t>P_Mansfield</t>
  </si>
  <si>
    <t>D_Ruttger</t>
  </si>
  <si>
    <t>C_Quezada</t>
  </si>
  <si>
    <t>C_Oliva</t>
  </si>
  <si>
    <t>E_Negrete</t>
  </si>
  <si>
    <t>S_Salgado</t>
  </si>
  <si>
    <t>JC_Roa</t>
  </si>
  <si>
    <t>012-0611</t>
  </si>
  <si>
    <t>012-0712</t>
  </si>
  <si>
    <t>012-0713</t>
  </si>
  <si>
    <t>012-0714</t>
  </si>
  <si>
    <t>012-0715</t>
  </si>
  <si>
    <t>012-0817</t>
  </si>
  <si>
    <t>Programa de trabajo Pampa Llalqui "Coordinación Trabajos campaña de terreno"</t>
  </si>
  <si>
    <t>Asesoría Illanes</t>
  </si>
  <si>
    <t>Estudio Hidrogeológico</t>
  </si>
  <si>
    <t>Revision del programa de drenaje</t>
  </si>
  <si>
    <t>Asesoria Hidrogeológico</t>
  </si>
  <si>
    <t>Estudio hidrdogeologico ex - cancha de ladrillos</t>
  </si>
  <si>
    <t>Desarrollo Modelo Conceptual Central  Quilme</t>
  </si>
  <si>
    <t>012-0507</t>
  </si>
  <si>
    <t>Cliente</t>
  </si>
  <si>
    <t>Quadra (KGHM)</t>
  </si>
  <si>
    <t>Illanes</t>
  </si>
  <si>
    <t>Atiaia Energia</t>
  </si>
  <si>
    <t>Minera El Abra</t>
  </si>
  <si>
    <t>Codelco El Teniente</t>
  </si>
  <si>
    <t>Nombre Proyecto</t>
  </si>
  <si>
    <t>Número Proyecto</t>
  </si>
  <si>
    <t>Descripción</t>
  </si>
  <si>
    <t>Descripción de Proyectos</t>
  </si>
  <si>
    <t>Etapa 1: Coordinación y administración campaña terreno</t>
  </si>
  <si>
    <t>Etapa 2: Coordinación labores de seguridad y prevención de riesgos (*)</t>
  </si>
  <si>
    <t>Etapa 3: Inspección técnica actividades de terreno</t>
  </si>
  <si>
    <t>Etapa 4: Asesoría técnica general en hidrogeología</t>
  </si>
  <si>
    <t>Etapa 5: Supervisión trabajos de terreno</t>
  </si>
  <si>
    <t>Etapa 1: General</t>
  </si>
  <si>
    <t>Etapa 1: Supervision sondajes</t>
  </si>
  <si>
    <t>1a: Monitoreo mensual y informes trimestrales, Ascotán</t>
  </si>
  <si>
    <t>1b: Tramites, cambio de punto de captación, Ascotán</t>
  </si>
  <si>
    <t>1c: Modelo conceptual y modelo numérico, Ascotán</t>
  </si>
  <si>
    <t xml:space="preserve">2a: Apoyo técnico y informes trimestrales e análisis e interpretación de estudios de tomografía </t>
  </si>
  <si>
    <t>3a: Apoyo técnico pila permanente</t>
  </si>
  <si>
    <t>3b: Análisis de infiltraciones, botadero ripios</t>
  </si>
  <si>
    <r>
      <t xml:space="preserve">4a: </t>
    </r>
    <r>
      <rPr>
        <sz val="9"/>
        <color theme="1"/>
        <rFont val="Trebuchet MS"/>
        <family val="2"/>
      </rPr>
      <t>Definición del alcance e implementación del estudio de tasas de crecimiento de vegas y vertientes</t>
    </r>
  </si>
  <si>
    <t>5a: Reuniones con SEA</t>
  </si>
  <si>
    <t>5b: Reuniones con la mesa de trabajo</t>
  </si>
  <si>
    <t>5c: Otras reuniones</t>
  </si>
  <si>
    <t>Etapa 1: Análisis del causa de raíz</t>
  </si>
  <si>
    <t>Etapa 2: Diseño conceptual del captación del sistema de filtraciones</t>
  </si>
  <si>
    <t>Etapa 3: Programa de monitoreo y seguimiento</t>
  </si>
  <si>
    <t>Etapa 1 Revisión y análisis de antecedentes</t>
  </si>
  <si>
    <t>Etapa 2 Trabajo de campo</t>
  </si>
  <si>
    <t>Etapa 3 Desarrollo del modelo hidrogeológico conceptual</t>
  </si>
  <si>
    <t>Etapa 4 Evaluación de impactos</t>
  </si>
  <si>
    <t>Etapa 5 Informe y reuniones</t>
  </si>
  <si>
    <t>Evaluación pozos Loreto</t>
  </si>
  <si>
    <t>Etapa 1: Coordinación y gestión del proyecto</t>
  </si>
  <si>
    <t>Etapa 2: Inspección técnica actividades de terreno</t>
  </si>
  <si>
    <t>Asesoria Hidrogeologica, Proy. Sierra Gorda</t>
  </si>
  <si>
    <t>Etapa 1: Asesoría técnica hidrogeológica</t>
  </si>
  <si>
    <t>Etapa 2: Apoyo técnico frente a autoridades</t>
  </si>
  <si>
    <t xml:space="preserve">Etapa 3: Capacitación </t>
  </si>
  <si>
    <t>Etapa 4: Monitoreo</t>
  </si>
  <si>
    <t>Etapa 5: Base de datos y elaboración informes</t>
  </si>
  <si>
    <t>Etapa 6: Actualización Modelo</t>
  </si>
  <si>
    <t>Estudio hidraulica, Quebrada Cabrito</t>
  </si>
  <si>
    <t>Tarea 1: Visita y recopilación de antecedentes</t>
  </si>
  <si>
    <t>Tarea 2: Análisis hidrológico</t>
  </si>
  <si>
    <t>Tarea 3: Análisis Hidráulico</t>
  </si>
  <si>
    <t>Tarea 4: Memoria técnica y reuniones</t>
  </si>
  <si>
    <t>Modelo conceptual y Modelacion Seep/W, pre-factibilidad Pelam.</t>
  </si>
  <si>
    <t>Etapa 1: Control de calidad, programa de terreno</t>
  </si>
  <si>
    <t>Etapa 2: Modelo hidrogeológico conceptual</t>
  </si>
  <si>
    <t>Etapa 3: Desarrollo de 6 perfiles de Seep/W</t>
  </si>
  <si>
    <t>Etapa 4: Reuniones y presentaciones</t>
  </si>
  <si>
    <t>1a</t>
  </si>
  <si>
    <t>1b</t>
  </si>
  <si>
    <t>1c</t>
  </si>
  <si>
    <t>3a</t>
  </si>
  <si>
    <t>3b</t>
  </si>
  <si>
    <t>4a</t>
  </si>
  <si>
    <t>5a</t>
  </si>
  <si>
    <t>5b</t>
  </si>
  <si>
    <t>2a</t>
  </si>
  <si>
    <t>012-0610</t>
  </si>
  <si>
    <t>012-0919</t>
  </si>
  <si>
    <t>012-0925</t>
  </si>
  <si>
    <t>012-1029</t>
  </si>
  <si>
    <t>5c</t>
  </si>
  <si>
    <t>e-Mining</t>
  </si>
  <si>
    <t>Lista 4</t>
  </si>
  <si>
    <t>Vladimir</t>
  </si>
  <si>
    <t>Administración</t>
  </si>
  <si>
    <t>Training</t>
  </si>
  <si>
    <t>VAI</t>
  </si>
  <si>
    <t>Tareas Administrativas</t>
  </si>
  <si>
    <t>Entretamiento</t>
  </si>
  <si>
    <t># Tarea</t>
  </si>
  <si>
    <t>Nombre</t>
  </si>
  <si>
    <t>Meses</t>
  </si>
  <si>
    <t>L</t>
  </si>
  <si>
    <t>M</t>
  </si>
  <si>
    <t>J</t>
  </si>
  <si>
    <t>V</t>
  </si>
  <si>
    <t>S</t>
  </si>
  <si>
    <t>D</t>
  </si>
  <si>
    <t># Proyectos</t>
  </si>
  <si>
    <t>Total</t>
  </si>
  <si>
    <t>TOTAL (HR) :</t>
  </si>
  <si>
    <t># Días Mes</t>
  </si>
  <si>
    <t>(HR)</t>
  </si>
  <si>
    <t>Nº Proy (0X-XXXX)</t>
  </si>
  <si>
    <t>Nombre Proyecto / Tarea</t>
  </si>
  <si>
    <t>Timesheet</t>
  </si>
  <si>
    <t>Pedro</t>
  </si>
  <si>
    <t>Jhonathan</t>
  </si>
  <si>
    <t>Jaime</t>
  </si>
  <si>
    <t>Leyla</t>
  </si>
  <si>
    <t>Andrés</t>
  </si>
  <si>
    <t>Mauricio Ruiz</t>
  </si>
  <si>
    <t xml:space="preserve">Mauricio  </t>
  </si>
  <si>
    <t>Patricia</t>
  </si>
  <si>
    <t>Rodolfo</t>
  </si>
  <si>
    <t>Paulina</t>
  </si>
  <si>
    <t>Administracion</t>
  </si>
  <si>
    <t>Los Colorados</t>
  </si>
  <si>
    <t>013-0854</t>
  </si>
  <si>
    <t>014-0789</t>
  </si>
  <si>
    <t>Hidrogeología Sierra Gorda</t>
  </si>
  <si>
    <t>014-0581</t>
  </si>
  <si>
    <t>Modelacion White Mountain</t>
  </si>
  <si>
    <t>Monitoreo Sierra Gorda</t>
  </si>
</sst>
</file>

<file path=xl/styles.xml><?xml version="1.0" encoding="utf-8"?>
<styleSheet xmlns="http://schemas.openxmlformats.org/spreadsheetml/2006/main">
  <numFmts count="2">
    <numFmt numFmtId="164" formatCode="d"/>
    <numFmt numFmtId="165" formatCode="#\ "/>
  </numFmts>
  <fonts count="3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sz val="9"/>
      <color rgb="FF000000"/>
      <name val="Trebuchet MS"/>
      <family val="2"/>
    </font>
    <font>
      <sz val="9"/>
      <color theme="1"/>
      <name val="Trebuchet MS"/>
      <family val="2"/>
    </font>
    <font>
      <sz val="10"/>
      <color theme="1"/>
      <name val="Trebuchet MS"/>
      <family val="2"/>
    </font>
    <font>
      <sz val="10"/>
      <color rgb="FF000000"/>
      <name val="Trebuchet MS"/>
      <family val="2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i/>
      <sz val="10"/>
      <color theme="9" tint="-0.249977111117893"/>
      <name val="Calibri"/>
      <family val="2"/>
      <scheme val="minor"/>
    </font>
    <font>
      <b/>
      <i/>
      <u/>
      <sz val="10"/>
      <color rgb="FF0070C0"/>
      <name val="Calibri"/>
      <family val="2"/>
      <scheme val="minor"/>
    </font>
    <font>
      <b/>
      <i/>
      <sz val="10"/>
      <color theme="9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9.35"/>
      <color rgb="FF00000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0.5999938962981048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3" tint="0.59999389629810485"/>
      </bottom>
      <diagonal/>
    </border>
    <border>
      <left style="medium">
        <color indexed="64"/>
      </left>
      <right style="medium">
        <color indexed="64"/>
      </right>
      <top style="thin">
        <color theme="3" tint="0.59999389629810485"/>
      </top>
      <bottom style="thin">
        <color theme="3" tint="0.5999938962981048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Protection="1">
      <protection locked="0"/>
    </xf>
    <xf numFmtId="0" fontId="7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8" xfId="0" applyBorder="1" applyProtection="1">
      <protection locked="0"/>
    </xf>
    <xf numFmtId="0" fontId="0" fillId="0" borderId="0" xfId="0" applyFill="1" applyBorder="1" applyAlignment="1">
      <alignment vertical="center"/>
    </xf>
    <xf numFmtId="3" fontId="6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/>
    <xf numFmtId="3" fontId="6" fillId="0" borderId="0" xfId="0" applyNumberFormat="1" applyFont="1" applyFill="1" applyBorder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5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3" fontId="6" fillId="0" borderId="9" xfId="0" applyNumberFormat="1" applyFont="1" applyFill="1" applyBorder="1" applyAlignment="1">
      <alignment horizontal="left" vertical="center" wrapText="1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18" xfId="0" applyFont="1" applyBorder="1" applyAlignment="1" applyProtection="1">
      <alignment horizont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13" xfId="0" applyFill="1" applyBorder="1" applyAlignment="1">
      <alignment vertical="center"/>
    </xf>
    <xf numFmtId="3" fontId="6" fillId="0" borderId="6" xfId="0" applyNumberFormat="1" applyFont="1" applyFill="1" applyBorder="1" applyAlignment="1">
      <alignment horizontal="left" wrapText="1"/>
    </xf>
    <xf numFmtId="0" fontId="7" fillId="0" borderId="2" xfId="0" applyNumberFormat="1" applyFont="1" applyBorder="1" applyAlignment="1" applyProtection="1">
      <alignment horizontal="center" vertical="center" wrapText="1"/>
      <protection locked="0"/>
    </xf>
    <xf numFmtId="0" fontId="7" fillId="0" borderId="20" xfId="0" applyNumberFormat="1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7" fillId="0" borderId="19" xfId="0" applyNumberFormat="1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6" fillId="0" borderId="15" xfId="0" applyNumberFormat="1" applyFont="1" applyFill="1" applyBorder="1" applyAlignment="1">
      <alignment horizontal="left" vertical="center" wrapText="1"/>
    </xf>
    <xf numFmtId="3" fontId="6" fillId="0" borderId="12" xfId="0" applyNumberFormat="1" applyFont="1" applyFill="1" applyBorder="1" applyAlignment="1">
      <alignment horizontal="left" vertical="center" wrapText="1"/>
    </xf>
    <xf numFmtId="0" fontId="6" fillId="0" borderId="1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5" xfId="0" applyNumberFormat="1" applyFon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/>
    <xf numFmtId="0" fontId="8" fillId="0" borderId="13" xfId="0" applyFont="1" applyFill="1" applyBorder="1" applyAlignment="1"/>
    <xf numFmtId="3" fontId="6" fillId="0" borderId="0" xfId="0" applyNumberFormat="1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/>
    <xf numFmtId="3" fontId="6" fillId="0" borderId="0" xfId="0" applyNumberFormat="1" applyFont="1" applyFill="1" applyBorder="1" applyAlignment="1">
      <alignment wrapText="1"/>
    </xf>
    <xf numFmtId="0" fontId="11" fillId="0" borderId="0" xfId="0" applyFont="1" applyFill="1" applyBorder="1" applyAlignment="1">
      <alignment vertical="center"/>
    </xf>
    <xf numFmtId="0" fontId="11" fillId="0" borderId="0" xfId="0" applyFont="1" applyFill="1" applyBorder="1" applyAlignment="1"/>
    <xf numFmtId="0" fontId="0" fillId="0" borderId="0" xfId="0" applyFill="1" applyBorder="1" applyAlignment="1"/>
    <xf numFmtId="0" fontId="8" fillId="0" borderId="0" xfId="0" applyFont="1" applyFill="1" applyBorder="1"/>
    <xf numFmtId="0" fontId="8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left" vertical="center" wrapText="1"/>
    </xf>
    <xf numFmtId="0" fontId="10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/>
    <xf numFmtId="0" fontId="0" fillId="0" borderId="21" xfId="0" applyFill="1" applyBorder="1" applyAlignment="1">
      <alignment vertical="center"/>
    </xf>
    <xf numFmtId="0" fontId="0" fillId="0" borderId="7" xfId="0" applyFill="1" applyBorder="1" applyAlignment="1"/>
    <xf numFmtId="3" fontId="6" fillId="0" borderId="6" xfId="0" applyNumberFormat="1" applyFont="1" applyFill="1" applyBorder="1" applyAlignment="1">
      <alignment horizontal="left" vertical="center" wrapText="1"/>
    </xf>
    <xf numFmtId="0" fontId="0" fillId="0" borderId="7" xfId="0" applyFill="1" applyBorder="1" applyAlignment="1">
      <alignment vertical="center"/>
    </xf>
    <xf numFmtId="0" fontId="10" fillId="0" borderId="10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 wrapText="1"/>
    </xf>
    <xf numFmtId="0" fontId="0" fillId="0" borderId="15" xfId="0" applyFill="1" applyBorder="1"/>
    <xf numFmtId="0" fontId="0" fillId="0" borderId="12" xfId="0" applyFill="1" applyBorder="1"/>
    <xf numFmtId="3" fontId="6" fillId="0" borderId="9" xfId="0" applyNumberFormat="1" applyFont="1" applyFill="1" applyBorder="1" applyAlignment="1">
      <alignment wrapText="1"/>
    </xf>
    <xf numFmtId="0" fontId="11" fillId="0" borderId="10" xfId="0" applyFont="1" applyFill="1" applyBorder="1" applyAlignment="1">
      <alignment vertical="center"/>
    </xf>
    <xf numFmtId="3" fontId="6" fillId="0" borderId="15" xfId="0" applyNumberFormat="1" applyFont="1" applyFill="1" applyBorder="1"/>
    <xf numFmtId="0" fontId="0" fillId="0" borderId="13" xfId="0" applyBorder="1" applyAlignment="1">
      <alignment vertical="center"/>
    </xf>
    <xf numFmtId="3" fontId="6" fillId="0" borderId="12" xfId="0" applyNumberFormat="1" applyFont="1" applyFill="1" applyBorder="1"/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/>
    </xf>
    <xf numFmtId="0" fontId="4" fillId="0" borderId="9" xfId="0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4" xfId="0" applyNumberFormat="1" applyFont="1" applyBorder="1" applyAlignment="1" applyProtection="1">
      <alignment horizontal="center" vertical="center" wrapText="1"/>
      <protection locked="0"/>
    </xf>
    <xf numFmtId="0" fontId="8" fillId="0" borderId="10" xfId="0" applyFont="1" applyFill="1" applyBorder="1" applyAlignment="1"/>
    <xf numFmtId="0" fontId="10" fillId="0" borderId="13" xfId="0" applyFont="1" applyFill="1" applyBorder="1" applyAlignment="1"/>
    <xf numFmtId="0" fontId="9" fillId="0" borderId="10" xfId="0" applyFont="1" applyFill="1" applyBorder="1" applyAlignment="1"/>
    <xf numFmtId="0" fontId="9" fillId="0" borderId="13" xfId="0" applyFont="1" applyFill="1" applyBorder="1" applyAlignment="1"/>
    <xf numFmtId="0" fontId="10" fillId="0" borderId="10" xfId="0" applyFont="1" applyFill="1" applyBorder="1" applyAlignment="1"/>
    <xf numFmtId="0" fontId="11" fillId="0" borderId="13" xfId="0" applyFont="1" applyFill="1" applyBorder="1" applyAlignment="1"/>
    <xf numFmtId="0" fontId="1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3" fillId="0" borderId="19" xfId="0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14" fillId="0" borderId="1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2" borderId="8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15" fillId="2" borderId="13" xfId="0" applyFont="1" applyFill="1" applyBorder="1" applyProtection="1">
      <protection locked="0"/>
    </xf>
    <xf numFmtId="0" fontId="18" fillId="2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9" xfId="0" applyFont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Protection="1">
      <protection locked="0"/>
    </xf>
    <xf numFmtId="0" fontId="24" fillId="0" borderId="1" xfId="0" applyFont="1" applyBorder="1"/>
    <xf numFmtId="0" fontId="25" fillId="0" borderId="0" xfId="0" applyFont="1"/>
    <xf numFmtId="0" fontId="26" fillId="0" borderId="0" xfId="0" applyFont="1"/>
    <xf numFmtId="0" fontId="19" fillId="2" borderId="12" xfId="0" applyFont="1" applyFill="1" applyBorder="1" applyProtection="1">
      <protection locked="0"/>
    </xf>
    <xf numFmtId="0" fontId="15" fillId="2" borderId="14" xfId="0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15" fillId="0" borderId="10" xfId="0" applyFont="1" applyBorder="1" applyProtection="1">
      <protection locked="0"/>
    </xf>
    <xf numFmtId="0" fontId="15" fillId="0" borderId="11" xfId="0" applyFont="1" applyBorder="1" applyProtection="1">
      <protection locked="0"/>
    </xf>
    <xf numFmtId="0" fontId="16" fillId="0" borderId="15" xfId="0" applyFont="1" applyFill="1" applyBorder="1" applyProtection="1">
      <protection locked="0"/>
    </xf>
    <xf numFmtId="0" fontId="15" fillId="0" borderId="0" xfId="0" applyFont="1" applyBorder="1" applyProtection="1">
      <protection locked="0"/>
    </xf>
    <xf numFmtId="0" fontId="17" fillId="0" borderId="0" xfId="0" applyFont="1" applyBorder="1" applyProtection="1">
      <protection locked="0"/>
    </xf>
    <xf numFmtId="0" fontId="15" fillId="0" borderId="16" xfId="0" applyFont="1" applyBorder="1" applyProtection="1">
      <protection locked="0"/>
    </xf>
    <xf numFmtId="0" fontId="16" fillId="0" borderId="15" xfId="0" applyFont="1" applyBorder="1" applyProtection="1">
      <protection locked="0"/>
    </xf>
    <xf numFmtId="14" fontId="0" fillId="0" borderId="0" xfId="0" applyNumberFormat="1" applyBorder="1" applyAlignment="1" applyProtection="1">
      <alignment horizontal="center"/>
      <protection locked="0"/>
    </xf>
    <xf numFmtId="14" fontId="0" fillId="0" borderId="0" xfId="0" applyNumberFormat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2" xfId="0" applyBorder="1" applyProtection="1">
      <protection locked="0"/>
    </xf>
    <xf numFmtId="0" fontId="15" fillId="0" borderId="13" xfId="0" applyFont="1" applyBorder="1" applyProtection="1">
      <protection locked="0"/>
    </xf>
    <xf numFmtId="0" fontId="15" fillId="0" borderId="14" xfId="0" applyFont="1" applyBorder="1" applyProtection="1">
      <protection locked="0"/>
    </xf>
    <xf numFmtId="0" fontId="0" fillId="3" borderId="6" xfId="0" applyFill="1" applyBorder="1" applyProtection="1">
      <protection locked="0"/>
    </xf>
    <xf numFmtId="0" fontId="20" fillId="3" borderId="8" xfId="0" applyNumberFormat="1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23" fillId="3" borderId="13" xfId="0" applyFont="1" applyFill="1" applyBorder="1" applyAlignment="1" applyProtection="1">
      <alignment horizontal="center"/>
    </xf>
    <xf numFmtId="0" fontId="0" fillId="3" borderId="18" xfId="0" applyFill="1" applyBorder="1" applyProtection="1"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22" fillId="2" borderId="18" xfId="0" applyFont="1" applyFill="1" applyBorder="1" applyAlignment="1" applyProtection="1">
      <alignment horizontal="center"/>
      <protection locked="0"/>
    </xf>
    <xf numFmtId="0" fontId="22" fillId="2" borderId="9" xfId="0" applyFont="1" applyFill="1" applyBorder="1" applyAlignment="1" applyProtection="1">
      <alignment horizontal="center"/>
      <protection locked="0"/>
    </xf>
    <xf numFmtId="16" fontId="21" fillId="3" borderId="27" xfId="0" applyNumberFormat="1" applyFont="1" applyFill="1" applyBorder="1" applyAlignment="1" applyProtection="1">
      <alignment horizontal="center"/>
      <protection locked="0"/>
    </xf>
    <xf numFmtId="164" fontId="21" fillId="3" borderId="17" xfId="0" applyNumberFormat="1" applyFont="1" applyFill="1" applyBorder="1" applyAlignment="1" applyProtection="1">
      <alignment horizontal="center"/>
      <protection locked="0"/>
    </xf>
    <xf numFmtId="164" fontId="21" fillId="3" borderId="28" xfId="0" applyNumberFormat="1" applyFont="1" applyFill="1" applyBorder="1" applyAlignment="1" applyProtection="1">
      <alignment horizontal="center"/>
      <protection locked="0"/>
    </xf>
    <xf numFmtId="165" fontId="22" fillId="3" borderId="29" xfId="0" applyNumberFormat="1" applyFont="1" applyFill="1" applyBorder="1" applyAlignment="1" applyProtection="1">
      <alignment horizontal="center"/>
      <protection locked="0"/>
    </xf>
    <xf numFmtId="165" fontId="22" fillId="3" borderId="30" xfId="0" applyNumberFormat="1" applyFont="1" applyFill="1" applyBorder="1" applyAlignment="1" applyProtection="1">
      <alignment horizontal="center"/>
      <protection locked="0"/>
    </xf>
    <xf numFmtId="165" fontId="22" fillId="3" borderId="31" xfId="0" applyNumberFormat="1" applyFont="1" applyFill="1" applyBorder="1" applyAlignment="1" applyProtection="1">
      <alignment horizontal="center"/>
      <protection locked="0"/>
    </xf>
    <xf numFmtId="0" fontId="19" fillId="3" borderId="12" xfId="0" applyFont="1" applyFill="1" applyBorder="1" applyProtection="1">
      <protection locked="0"/>
    </xf>
    <xf numFmtId="0" fontId="15" fillId="3" borderId="13" xfId="0" applyFont="1" applyFill="1" applyBorder="1" applyProtection="1">
      <protection locked="0"/>
    </xf>
    <xf numFmtId="0" fontId="15" fillId="3" borderId="14" xfId="0" applyFont="1" applyFill="1" applyBorder="1" applyProtection="1">
      <protection locked="0"/>
    </xf>
    <xf numFmtId="0" fontId="15" fillId="2" borderId="9" xfId="0" applyNumberFormat="1" applyFont="1" applyFill="1" applyBorder="1" applyAlignment="1" applyProtection="1">
      <alignment horizontal="center" vertical="center"/>
      <protection locked="0"/>
    </xf>
    <xf numFmtId="0" fontId="15" fillId="2" borderId="15" xfId="0" applyNumberFormat="1" applyFont="1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3" borderId="36" xfId="0" applyFill="1" applyBorder="1" applyAlignment="1" applyProtection="1">
      <alignment horizontal="center"/>
      <protection locked="0"/>
    </xf>
    <xf numFmtId="0" fontId="0" fillId="3" borderId="37" xfId="0" applyFill="1" applyBorder="1" applyAlignment="1" applyProtection="1">
      <alignment horizontal="center"/>
      <protection locked="0"/>
    </xf>
    <xf numFmtId="0" fontId="0" fillId="3" borderId="32" xfId="0" applyNumberFormat="1" applyFont="1" applyFill="1" applyBorder="1" applyAlignment="1" applyProtection="1">
      <alignment horizontal="center" vertical="center"/>
      <protection locked="0"/>
    </xf>
    <xf numFmtId="0" fontId="0" fillId="3" borderId="33" xfId="0" applyNumberFormat="1" applyFont="1" applyFill="1" applyBorder="1" applyAlignment="1" applyProtection="1">
      <alignment horizontal="center" vertical="center"/>
      <protection locked="0"/>
    </xf>
    <xf numFmtId="0" fontId="0" fillId="3" borderId="34" xfId="0" applyNumberFormat="1" applyFont="1" applyFill="1" applyBorder="1" applyAlignment="1" applyProtection="1">
      <alignment horizontal="center" vertical="center"/>
      <protection locked="0"/>
    </xf>
    <xf numFmtId="0" fontId="3" fillId="2" borderId="22" xfId="0" applyNumberFormat="1" applyFont="1" applyFill="1" applyBorder="1" applyAlignment="1" applyProtection="1">
      <alignment horizontal="center" vertical="center"/>
      <protection locked="0"/>
    </xf>
    <xf numFmtId="0" fontId="3" fillId="2" borderId="38" xfId="0" applyNumberFormat="1" applyFont="1" applyFill="1" applyBorder="1" applyAlignment="1" applyProtection="1">
      <alignment horizontal="center" vertical="center"/>
      <protection locked="0"/>
    </xf>
    <xf numFmtId="0" fontId="3" fillId="2" borderId="23" xfId="0" applyNumberFormat="1" applyFont="1" applyFill="1" applyBorder="1" applyAlignment="1" applyProtection="1">
      <alignment horizontal="center" vertical="center"/>
      <protection locked="0"/>
    </xf>
    <xf numFmtId="0" fontId="3" fillId="2" borderId="39" xfId="0" applyNumberFormat="1" applyFont="1" applyFill="1" applyBorder="1" applyAlignment="1" applyProtection="1">
      <alignment horizontal="center" vertical="center"/>
      <protection locked="0"/>
    </xf>
    <xf numFmtId="0" fontId="3" fillId="2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3" fillId="2" borderId="40" xfId="0" applyNumberFormat="1" applyFont="1" applyFill="1" applyBorder="1" applyAlignment="1" applyProtection="1">
      <alignment horizontal="center" vertical="center"/>
      <protection locked="0"/>
    </xf>
    <xf numFmtId="0" fontId="3" fillId="2" borderId="25" xfId="0" applyNumberFormat="1" applyFont="1" applyFill="1" applyBorder="1" applyAlignment="1" applyProtection="1">
      <alignment horizontal="center" vertical="center"/>
      <protection locked="0"/>
    </xf>
    <xf numFmtId="0" fontId="3" fillId="2" borderId="26" xfId="0" applyNumberFormat="1" applyFont="1" applyFill="1" applyBorder="1" applyAlignment="1" applyProtection="1">
      <alignment horizontal="center" vertical="center"/>
      <protection locked="0"/>
    </xf>
    <xf numFmtId="0" fontId="15" fillId="2" borderId="41" xfId="0" applyNumberFormat="1" applyFont="1" applyFill="1" applyBorder="1" applyAlignment="1" applyProtection="1">
      <alignment horizontal="center" vertical="center"/>
      <protection locked="0"/>
    </xf>
    <xf numFmtId="0" fontId="15" fillId="2" borderId="42" xfId="0" applyNumberFormat="1" applyFont="1" applyFill="1" applyBorder="1" applyAlignment="1" applyProtection="1">
      <alignment horizontal="center" vertical="center"/>
      <protection locked="0"/>
    </xf>
    <xf numFmtId="0" fontId="14" fillId="0" borderId="44" xfId="0" applyFont="1" applyFill="1" applyBorder="1" applyProtection="1">
      <protection locked="0"/>
    </xf>
    <xf numFmtId="0" fontId="28" fillId="0" borderId="0" xfId="0" applyFont="1"/>
    <xf numFmtId="0" fontId="0" fillId="4" borderId="0" xfId="0" applyFill="1" applyProtection="1">
      <protection locked="0"/>
    </xf>
    <xf numFmtId="0" fontId="15" fillId="2" borderId="12" xfId="0" applyNumberFormat="1" applyFont="1" applyFill="1" applyBorder="1" applyAlignment="1" applyProtection="1">
      <alignment horizontal="center" vertical="center"/>
      <protection locked="0"/>
    </xf>
    <xf numFmtId="0" fontId="15" fillId="2" borderId="43" xfId="0" applyNumberFormat="1" applyFont="1" applyFill="1" applyBorder="1" applyAlignment="1" applyProtection="1">
      <alignment horizontal="center" vertical="center"/>
      <protection locked="0"/>
    </xf>
    <xf numFmtId="0" fontId="15" fillId="2" borderId="43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42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3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7" xfId="0" applyFont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2" fillId="3" borderId="9" xfId="0" applyFont="1" applyFill="1" applyBorder="1" applyAlignment="1" applyProtection="1">
      <alignment horizontal="center"/>
      <protection locked="0"/>
    </xf>
    <xf numFmtId="0" fontId="22" fillId="3" borderId="11" xfId="0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right" vertical="center"/>
      <protection locked="0"/>
    </xf>
    <xf numFmtId="0" fontId="3" fillId="0" borderId="11" xfId="0" applyNumberFormat="1" applyFont="1" applyBorder="1" applyAlignment="1" applyProtection="1">
      <alignment horizontal="right" vertical="center"/>
      <protection locked="0"/>
    </xf>
    <xf numFmtId="3" fontId="15" fillId="3" borderId="9" xfId="0" applyNumberFormat="1" applyFont="1" applyFill="1" applyBorder="1" applyAlignment="1" applyProtection="1">
      <alignment horizontal="left" vertical="center"/>
      <protection locked="0"/>
    </xf>
    <xf numFmtId="3" fontId="15" fillId="3" borderId="11" xfId="0" applyNumberFormat="1" applyFont="1" applyFill="1" applyBorder="1" applyAlignment="1" applyProtection="1">
      <alignment horizontal="left" vertical="center"/>
      <protection locked="0"/>
    </xf>
    <xf numFmtId="0" fontId="15" fillId="3" borderId="12" xfId="0" applyNumberFormat="1" applyFont="1" applyFill="1" applyBorder="1" applyAlignment="1" applyProtection="1">
      <alignment horizontal="left" vertical="center"/>
      <protection locked="0"/>
    </xf>
    <xf numFmtId="0" fontId="15" fillId="3" borderId="14" xfId="0" applyNumberFormat="1" applyFont="1" applyFill="1" applyBorder="1" applyAlignment="1" applyProtection="1">
      <alignment horizontal="left" vertical="center"/>
      <protection locked="0"/>
    </xf>
    <xf numFmtId="0" fontId="15" fillId="3" borderId="9" xfId="0" applyNumberFormat="1" applyFont="1" applyFill="1" applyBorder="1" applyAlignment="1" applyProtection="1">
      <alignment horizontal="left" vertical="center"/>
      <protection locked="0"/>
    </xf>
    <xf numFmtId="0" fontId="15" fillId="3" borderId="11" xfId="0" applyNumberFormat="1" applyFont="1" applyFill="1" applyBorder="1" applyAlignment="1" applyProtection="1">
      <alignment horizontal="left" vertical="center"/>
      <protection locked="0"/>
    </xf>
    <xf numFmtId="0" fontId="15" fillId="3" borderId="15" xfId="0" applyNumberFormat="1" applyFont="1" applyFill="1" applyBorder="1" applyAlignment="1" applyProtection="1">
      <alignment horizontal="left" vertical="center"/>
      <protection locked="0"/>
    </xf>
    <xf numFmtId="0" fontId="15" fillId="3" borderId="16" xfId="0" applyNumberFormat="1" applyFont="1" applyFill="1" applyBorder="1" applyAlignment="1" applyProtection="1">
      <alignment horizontal="left" vertical="center"/>
      <protection locked="0"/>
    </xf>
    <xf numFmtId="0" fontId="15" fillId="3" borderId="6" xfId="0" applyNumberFormat="1" applyFont="1" applyFill="1" applyBorder="1" applyAlignment="1" applyProtection="1">
      <alignment horizontal="left" vertical="center"/>
      <protection locked="0"/>
    </xf>
    <xf numFmtId="0" fontId="15" fillId="3" borderId="8" xfId="0" applyNumberFormat="1" applyFont="1" applyFill="1" applyBorder="1" applyAlignment="1" applyProtection="1">
      <alignment horizontal="left" vertical="center"/>
      <protection locked="0"/>
    </xf>
    <xf numFmtId="0" fontId="15" fillId="3" borderId="15" xfId="0" applyNumberFormat="1" applyFont="1" applyFill="1" applyBorder="1" applyAlignment="1" applyProtection="1">
      <alignment horizontal="center" vertical="center"/>
      <protection locked="0"/>
    </xf>
    <xf numFmtId="0" fontId="15" fillId="3" borderId="16" xfId="0" applyNumberFormat="1" applyFont="1" applyFill="1" applyBorder="1" applyAlignment="1" applyProtection="1">
      <alignment horizontal="center" vertical="center"/>
      <protection locked="0"/>
    </xf>
    <xf numFmtId="0" fontId="15" fillId="3" borderId="12" xfId="0" applyNumberFormat="1" applyFont="1" applyFill="1" applyBorder="1" applyAlignment="1" applyProtection="1">
      <alignment horizontal="center" vertical="center"/>
      <protection locked="0"/>
    </xf>
    <xf numFmtId="0" fontId="15" fillId="3" borderId="14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</cellXfs>
  <cellStyles count="1">
    <cellStyle name="Normal" xfId="0" builtinId="0"/>
  </cellStyles>
  <dxfs count="4"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ivil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211"/>
  <sheetViews>
    <sheetView tabSelected="1" topLeftCell="A3" zoomScale="80" zoomScaleNormal="80" workbookViewId="0">
      <selection activeCell="AN16" sqref="AN16"/>
    </sheetView>
  </sheetViews>
  <sheetFormatPr baseColWidth="10" defaultRowHeight="15"/>
  <cols>
    <col min="1" max="1" width="12.42578125" style="1" customWidth="1"/>
    <col min="2" max="2" width="15.85546875" style="1" customWidth="1"/>
    <col min="3" max="3" width="8.140625" style="1" customWidth="1"/>
    <col min="4" max="4" width="64" style="1" customWidth="1"/>
    <col min="5" max="5" width="6" style="1" bestFit="1" customWidth="1"/>
    <col min="6" max="6" width="9.5703125" style="1" customWidth="1"/>
    <col min="7" max="7" width="4" style="1" bestFit="1" customWidth="1"/>
    <col min="8" max="36" width="4.28515625" style="1" customWidth="1"/>
    <col min="37" max="16384" width="11.42578125" style="1"/>
  </cols>
  <sheetData>
    <row r="1" spans="1:37" ht="15.75" thickBot="1">
      <c r="A1" s="118">
        <v>1</v>
      </c>
      <c r="B1" s="109">
        <v>2</v>
      </c>
      <c r="C1" s="118">
        <v>3</v>
      </c>
      <c r="D1" s="109">
        <v>4</v>
      </c>
      <c r="E1" s="118">
        <v>5</v>
      </c>
      <c r="F1" s="109">
        <v>6</v>
      </c>
      <c r="G1" s="118">
        <v>7</v>
      </c>
      <c r="H1" s="109">
        <v>8</v>
      </c>
      <c r="I1" s="118">
        <v>9</v>
      </c>
      <c r="J1" s="109">
        <v>10</v>
      </c>
      <c r="K1" s="118">
        <v>11</v>
      </c>
      <c r="L1" s="109">
        <v>12</v>
      </c>
      <c r="M1" s="118">
        <v>13</v>
      </c>
      <c r="N1" s="109">
        <v>14</v>
      </c>
      <c r="O1" s="118">
        <v>15</v>
      </c>
      <c r="P1" s="109">
        <v>16</v>
      </c>
      <c r="Q1" s="118">
        <v>17</v>
      </c>
      <c r="R1" s="109">
        <v>18</v>
      </c>
      <c r="S1" s="118">
        <v>19</v>
      </c>
      <c r="T1" s="109">
        <v>20</v>
      </c>
      <c r="U1" s="118">
        <v>21</v>
      </c>
      <c r="V1" s="109">
        <v>22</v>
      </c>
      <c r="W1" s="118">
        <v>23</v>
      </c>
      <c r="X1" s="109">
        <v>24</v>
      </c>
      <c r="Y1" s="118">
        <v>25</v>
      </c>
      <c r="Z1" s="109">
        <v>26</v>
      </c>
      <c r="AA1" s="118">
        <v>27</v>
      </c>
      <c r="AB1" s="109">
        <v>28</v>
      </c>
      <c r="AC1" s="118">
        <v>29</v>
      </c>
      <c r="AD1" s="109">
        <v>30</v>
      </c>
      <c r="AE1" s="118">
        <v>31</v>
      </c>
      <c r="AF1" s="109">
        <v>32</v>
      </c>
      <c r="AG1" s="118">
        <v>33</v>
      </c>
      <c r="AH1" s="109">
        <v>34</v>
      </c>
      <c r="AI1" s="118">
        <v>35</v>
      </c>
      <c r="AJ1" s="109">
        <v>36</v>
      </c>
    </row>
    <row r="2" spans="1:37" ht="27" thickBot="1">
      <c r="A2" s="196" t="s">
        <v>134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8"/>
    </row>
    <row r="3" spans="1:37" ht="9" customHeight="1">
      <c r="A3" s="131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1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3"/>
    </row>
    <row r="4" spans="1:37" ht="20.25" customHeight="1">
      <c r="A4" s="134" t="s">
        <v>16</v>
      </c>
      <c r="B4" t="str">
        <f>+INDEX(Trabajadores!A2:A14,Hoja1!C4)</f>
        <v>C_Quezada</v>
      </c>
      <c r="C4" s="135">
        <v>3</v>
      </c>
      <c r="D4" s="2"/>
      <c r="E4" s="135"/>
      <c r="F4" s="135"/>
      <c r="G4" s="136"/>
      <c r="H4" s="135"/>
      <c r="I4" s="135"/>
      <c r="K4" s="135"/>
      <c r="L4" s="135"/>
      <c r="M4" s="135"/>
      <c r="N4" s="135"/>
      <c r="O4" s="135"/>
      <c r="P4" s="135"/>
      <c r="Q4" s="135"/>
      <c r="R4" s="135"/>
      <c r="S4" s="2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7"/>
    </row>
    <row r="5" spans="1:37" ht="20.25" customHeight="1">
      <c r="A5" s="134" t="s">
        <v>1</v>
      </c>
      <c r="B5" t="str">
        <f>+INDEX(Trabajadores!D2:D13,Hoja1!C5)</f>
        <v>Septiembre</v>
      </c>
      <c r="C5" s="2">
        <v>9</v>
      </c>
      <c r="D5" s="2"/>
      <c r="E5" s="2"/>
      <c r="F5" s="135"/>
      <c r="G5" s="136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7"/>
    </row>
    <row r="6" spans="1:37" hidden="1">
      <c r="A6" s="134"/>
      <c r="B6" s="2"/>
      <c r="C6" s="135">
        <f>+C5</f>
        <v>9</v>
      </c>
      <c r="D6" s="135"/>
      <c r="E6" s="2"/>
      <c r="F6" s="135"/>
      <c r="G6" s="136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7"/>
    </row>
    <row r="7" spans="1:37" hidden="1">
      <c r="A7" s="138" t="s">
        <v>17</v>
      </c>
      <c r="B7" s="119" t="str">
        <f>+CONCATENATE(1,"/",$C$6,"/",2014)</f>
        <v>1/9/2014</v>
      </c>
      <c r="C7" s="119" t="str">
        <f>+CONCATENATE(1,"/",$C$6-1,"/",2014)</f>
        <v>1/8/2014</v>
      </c>
      <c r="D7" s="2"/>
      <c r="E7" s="135"/>
      <c r="F7" s="135"/>
      <c r="G7" s="136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7"/>
    </row>
    <row r="8" spans="1:37" hidden="1">
      <c r="A8" s="138" t="s">
        <v>18</v>
      </c>
      <c r="B8" s="139">
        <f>+D8</f>
        <v>41912</v>
      </c>
      <c r="C8" s="135"/>
      <c r="D8" s="140">
        <f>+EOMONTH(C7,1)</f>
        <v>41912</v>
      </c>
      <c r="E8" s="135"/>
      <c r="F8" s="135"/>
      <c r="G8" s="136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7"/>
    </row>
    <row r="9" spans="1:37" ht="15.75" thickBot="1">
      <c r="A9" s="141"/>
      <c r="B9" s="135"/>
      <c r="C9" s="135"/>
      <c r="D9" s="135"/>
      <c r="E9" s="135"/>
      <c r="F9" s="135"/>
      <c r="G9" s="136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7"/>
    </row>
    <row r="10" spans="1:37" ht="15.75" thickBot="1">
      <c r="A10" s="145" t="s">
        <v>130</v>
      </c>
      <c r="B10" s="146">
        <f>+B8-B7+1</f>
        <v>30</v>
      </c>
      <c r="C10" s="135"/>
      <c r="D10" s="135"/>
      <c r="E10" s="135"/>
      <c r="F10" s="135"/>
      <c r="G10" s="136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7"/>
    </row>
    <row r="11" spans="1:37" ht="15.75" thickBot="1">
      <c r="A11" s="142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4"/>
    </row>
    <row r="12" spans="1:37" ht="15.75" thickBot="1">
      <c r="A12" s="147" t="s">
        <v>127</v>
      </c>
      <c r="B12" s="129" t="s">
        <v>50</v>
      </c>
      <c r="C12" s="112"/>
      <c r="D12" s="112"/>
      <c r="E12" s="130"/>
      <c r="F12" s="160" t="s">
        <v>19</v>
      </c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2"/>
    </row>
    <row r="13" spans="1:37" ht="15.75" thickBot="1">
      <c r="A13" s="148">
        <f>+MAX(A15:A31)</f>
        <v>7</v>
      </c>
      <c r="B13" s="111"/>
      <c r="C13" s="112"/>
      <c r="D13" s="113"/>
      <c r="E13" s="110"/>
      <c r="F13" s="154" t="str">
        <f>+B7</f>
        <v>1/9/2014</v>
      </c>
      <c r="G13" s="155">
        <f t="shared" ref="G13:AJ13" si="0">+IF(F13="","",IF((F13+1)&gt;($B$8+1-1),"",F13+1))</f>
        <v>41884</v>
      </c>
      <c r="H13" s="155">
        <f t="shared" si="0"/>
        <v>41885</v>
      </c>
      <c r="I13" s="155">
        <f t="shared" si="0"/>
        <v>41886</v>
      </c>
      <c r="J13" s="155">
        <f t="shared" si="0"/>
        <v>41887</v>
      </c>
      <c r="K13" s="155">
        <f t="shared" si="0"/>
        <v>41888</v>
      </c>
      <c r="L13" s="155">
        <f t="shared" si="0"/>
        <v>41889</v>
      </c>
      <c r="M13" s="155">
        <f t="shared" si="0"/>
        <v>41890</v>
      </c>
      <c r="N13" s="155">
        <f t="shared" si="0"/>
        <v>41891</v>
      </c>
      <c r="O13" s="155">
        <f t="shared" si="0"/>
        <v>41892</v>
      </c>
      <c r="P13" s="155">
        <f t="shared" si="0"/>
        <v>41893</v>
      </c>
      <c r="Q13" s="155">
        <f t="shared" si="0"/>
        <v>41894</v>
      </c>
      <c r="R13" s="155">
        <f t="shared" si="0"/>
        <v>41895</v>
      </c>
      <c r="S13" s="155">
        <f t="shared" si="0"/>
        <v>41896</v>
      </c>
      <c r="T13" s="155">
        <f t="shared" si="0"/>
        <v>41897</v>
      </c>
      <c r="U13" s="155">
        <f t="shared" si="0"/>
        <v>41898</v>
      </c>
      <c r="V13" s="155">
        <f t="shared" si="0"/>
        <v>41899</v>
      </c>
      <c r="W13" s="155">
        <f t="shared" si="0"/>
        <v>41900</v>
      </c>
      <c r="X13" s="155">
        <f t="shared" si="0"/>
        <v>41901</v>
      </c>
      <c r="Y13" s="155">
        <f t="shared" si="0"/>
        <v>41902</v>
      </c>
      <c r="Z13" s="155">
        <f t="shared" si="0"/>
        <v>41903</v>
      </c>
      <c r="AA13" s="155">
        <f t="shared" si="0"/>
        <v>41904</v>
      </c>
      <c r="AB13" s="155">
        <f t="shared" si="0"/>
        <v>41905</v>
      </c>
      <c r="AC13" s="155">
        <f t="shared" si="0"/>
        <v>41906</v>
      </c>
      <c r="AD13" s="155">
        <f t="shared" si="0"/>
        <v>41907</v>
      </c>
      <c r="AE13" s="155">
        <f t="shared" si="0"/>
        <v>41908</v>
      </c>
      <c r="AF13" s="155">
        <f t="shared" si="0"/>
        <v>41909</v>
      </c>
      <c r="AG13" s="155">
        <f t="shared" si="0"/>
        <v>41910</v>
      </c>
      <c r="AH13" s="155">
        <f t="shared" si="0"/>
        <v>41911</v>
      </c>
      <c r="AI13" s="155">
        <f t="shared" si="0"/>
        <v>41912</v>
      </c>
      <c r="AJ13" s="156" t="str">
        <f t="shared" si="0"/>
        <v/>
      </c>
      <c r="AK13" s="165" t="s">
        <v>128</v>
      </c>
    </row>
    <row r="14" spans="1:37" ht="15.75" thickBot="1">
      <c r="A14" s="149"/>
      <c r="B14" s="152" t="s">
        <v>132</v>
      </c>
      <c r="C14" s="153" t="s">
        <v>118</v>
      </c>
      <c r="D14" s="199" t="s">
        <v>133</v>
      </c>
      <c r="E14" s="200"/>
      <c r="F14" s="157" t="str">
        <f>VLOOKUP(WEEKDAY(F13,2),$I$119:$J$125,2,FALSE)</f>
        <v>L</v>
      </c>
      <c r="G14" s="158" t="str">
        <f t="shared" ref="G14:AJ14" si="1">+IF(ISNUMBER(G13),VLOOKUP(WEEKDAY(G13,2),$I$119:$J$125,2,FALSE),"")</f>
        <v>M</v>
      </c>
      <c r="H14" s="158" t="str">
        <f t="shared" si="1"/>
        <v>M</v>
      </c>
      <c r="I14" s="158" t="str">
        <f t="shared" si="1"/>
        <v>J</v>
      </c>
      <c r="J14" s="158" t="str">
        <f t="shared" si="1"/>
        <v>V</v>
      </c>
      <c r="K14" s="158" t="str">
        <f t="shared" si="1"/>
        <v>S</v>
      </c>
      <c r="L14" s="158" t="str">
        <f t="shared" si="1"/>
        <v>D</v>
      </c>
      <c r="M14" s="158" t="str">
        <f t="shared" si="1"/>
        <v>L</v>
      </c>
      <c r="N14" s="158" t="str">
        <f t="shared" si="1"/>
        <v>M</v>
      </c>
      <c r="O14" s="158" t="str">
        <f t="shared" si="1"/>
        <v>M</v>
      </c>
      <c r="P14" s="158" t="str">
        <f t="shared" si="1"/>
        <v>J</v>
      </c>
      <c r="Q14" s="158" t="str">
        <f t="shared" si="1"/>
        <v>V</v>
      </c>
      <c r="R14" s="158" t="str">
        <f t="shared" si="1"/>
        <v>S</v>
      </c>
      <c r="S14" s="158" t="str">
        <f t="shared" si="1"/>
        <v>D</v>
      </c>
      <c r="T14" s="158" t="str">
        <f t="shared" si="1"/>
        <v>L</v>
      </c>
      <c r="U14" s="158" t="str">
        <f t="shared" si="1"/>
        <v>M</v>
      </c>
      <c r="V14" s="158" t="str">
        <f t="shared" si="1"/>
        <v>M</v>
      </c>
      <c r="W14" s="158" t="str">
        <f t="shared" si="1"/>
        <v>J</v>
      </c>
      <c r="X14" s="158" t="str">
        <f t="shared" si="1"/>
        <v>V</v>
      </c>
      <c r="Y14" s="158" t="str">
        <f t="shared" si="1"/>
        <v>S</v>
      </c>
      <c r="Z14" s="158" t="str">
        <f t="shared" si="1"/>
        <v>D</v>
      </c>
      <c r="AA14" s="158" t="str">
        <f t="shared" si="1"/>
        <v>L</v>
      </c>
      <c r="AB14" s="158" t="str">
        <f t="shared" si="1"/>
        <v>M</v>
      </c>
      <c r="AC14" s="158" t="str">
        <f t="shared" si="1"/>
        <v>M</v>
      </c>
      <c r="AD14" s="158" t="str">
        <f t="shared" si="1"/>
        <v>J</v>
      </c>
      <c r="AE14" s="158" t="str">
        <f t="shared" si="1"/>
        <v>V</v>
      </c>
      <c r="AF14" s="158" t="str">
        <f t="shared" si="1"/>
        <v>S</v>
      </c>
      <c r="AG14" s="158" t="str">
        <f t="shared" si="1"/>
        <v>D</v>
      </c>
      <c r="AH14" s="158" t="str">
        <f t="shared" si="1"/>
        <v>L</v>
      </c>
      <c r="AI14" s="158" t="str">
        <f t="shared" si="1"/>
        <v>M</v>
      </c>
      <c r="AJ14" s="159" t="str">
        <f t="shared" si="1"/>
        <v/>
      </c>
      <c r="AK14" s="151" t="s">
        <v>131</v>
      </c>
    </row>
    <row r="15" spans="1:37" ht="20.100000000000001" customHeight="1">
      <c r="A15" s="150">
        <f>+IF(B15="",0,A14+1)</f>
        <v>1</v>
      </c>
      <c r="B15" s="163">
        <v>999</v>
      </c>
      <c r="C15" s="182">
        <v>1</v>
      </c>
      <c r="D15" s="203" t="s">
        <v>145</v>
      </c>
      <c r="E15" s="204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  <c r="AF15" s="173"/>
      <c r="AG15" s="173"/>
      <c r="AH15" s="173"/>
      <c r="AI15" s="173"/>
      <c r="AJ15" s="174"/>
      <c r="AK15" s="166">
        <f>+SUM(F15:AJ15)</f>
        <v>0</v>
      </c>
    </row>
    <row r="16" spans="1:37" ht="20.100000000000001" customHeight="1" thickBot="1">
      <c r="A16" s="150">
        <f t="shared" ref="A16:A23" si="2">+IF(B16="",0,A15+1)</f>
        <v>2</v>
      </c>
      <c r="B16" s="187" t="s">
        <v>147</v>
      </c>
      <c r="C16" s="188">
        <v>4</v>
      </c>
      <c r="D16" s="205" t="s">
        <v>146</v>
      </c>
      <c r="E16" s="206"/>
      <c r="F16" s="175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6"/>
      <c r="AK16" s="167">
        <f>+SUM(F16:AJ16)</f>
        <v>0</v>
      </c>
    </row>
    <row r="17" spans="1:37" ht="20.100000000000001" customHeight="1">
      <c r="A17" s="150">
        <f t="shared" si="2"/>
        <v>3</v>
      </c>
      <c r="B17" s="163">
        <v>998</v>
      </c>
      <c r="C17" s="182">
        <v>1</v>
      </c>
      <c r="D17" s="207" t="s">
        <v>114</v>
      </c>
      <c r="E17" s="208"/>
      <c r="F17" s="175"/>
      <c r="G17" s="172"/>
      <c r="H17" s="172"/>
      <c r="I17" s="172"/>
      <c r="J17" s="172"/>
      <c r="K17" s="172"/>
      <c r="L17" s="172"/>
      <c r="M17" s="172"/>
      <c r="N17" s="172"/>
      <c r="O17" s="172"/>
      <c r="P17" s="177"/>
      <c r="Q17" s="177"/>
      <c r="R17" s="177"/>
      <c r="S17" s="177"/>
      <c r="T17" s="177"/>
      <c r="U17" s="177"/>
      <c r="V17" s="177"/>
      <c r="W17" s="177"/>
      <c r="X17" s="177"/>
      <c r="Y17" s="172"/>
      <c r="Z17" s="172"/>
      <c r="AA17" s="177"/>
      <c r="AB17" s="177"/>
      <c r="AC17" s="177"/>
      <c r="AD17" s="177"/>
      <c r="AE17" s="177"/>
      <c r="AF17" s="172"/>
      <c r="AG17" s="172"/>
      <c r="AH17" s="177"/>
      <c r="AI17" s="175"/>
      <c r="AJ17" s="178"/>
      <c r="AK17" s="167" t="str">
        <f t="shared" ref="AK17:AK31" si="3">+IF(SUM(F17:AJ17)=0,"",SUM(F17:AJ17))</f>
        <v/>
      </c>
    </row>
    <row r="18" spans="1:37" ht="20.100000000000001" customHeight="1">
      <c r="A18" s="150">
        <f t="shared" si="2"/>
        <v>4</v>
      </c>
      <c r="B18" s="164" t="s">
        <v>148</v>
      </c>
      <c r="C18" s="183">
        <v>0</v>
      </c>
      <c r="D18" s="209" t="s">
        <v>149</v>
      </c>
      <c r="E18" s="210"/>
      <c r="F18" s="175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6"/>
      <c r="AK18" s="167" t="str">
        <f t="shared" si="3"/>
        <v/>
      </c>
    </row>
    <row r="19" spans="1:37" ht="20.100000000000001" customHeight="1">
      <c r="A19" s="150">
        <f t="shared" si="2"/>
        <v>5</v>
      </c>
      <c r="B19" s="164" t="s">
        <v>150</v>
      </c>
      <c r="C19" s="183">
        <v>3</v>
      </c>
      <c r="D19" s="209" t="s">
        <v>151</v>
      </c>
      <c r="E19" s="210"/>
      <c r="F19" s="175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67" t="str">
        <f t="shared" si="3"/>
        <v/>
      </c>
    </row>
    <row r="20" spans="1:37" ht="20.100000000000001" customHeight="1" thickBot="1">
      <c r="A20" s="150">
        <f t="shared" si="2"/>
        <v>6</v>
      </c>
      <c r="B20" s="164" t="s">
        <v>150</v>
      </c>
      <c r="C20" s="183">
        <v>3</v>
      </c>
      <c r="D20" s="209" t="s">
        <v>151</v>
      </c>
      <c r="E20" s="210"/>
      <c r="F20" s="175">
        <v>6</v>
      </c>
      <c r="G20" s="175">
        <v>6</v>
      </c>
      <c r="H20" s="175">
        <v>6</v>
      </c>
      <c r="I20" s="175">
        <v>6</v>
      </c>
      <c r="J20" s="175">
        <v>6</v>
      </c>
      <c r="K20" s="175">
        <v>10</v>
      </c>
      <c r="L20" s="175">
        <v>4</v>
      </c>
      <c r="M20" s="175">
        <v>6</v>
      </c>
      <c r="N20" s="175">
        <v>6</v>
      </c>
      <c r="O20" s="175">
        <v>6</v>
      </c>
      <c r="P20" s="175">
        <v>6</v>
      </c>
      <c r="Q20" s="175">
        <v>6</v>
      </c>
      <c r="R20" s="177"/>
      <c r="S20" s="177"/>
      <c r="T20" s="175">
        <v>6</v>
      </c>
      <c r="U20" s="175">
        <v>6</v>
      </c>
      <c r="V20" s="177"/>
      <c r="W20" s="177"/>
      <c r="X20" s="177"/>
      <c r="Y20" s="177"/>
      <c r="Z20" s="172"/>
      <c r="AA20" s="175">
        <v>6</v>
      </c>
      <c r="AB20" s="175">
        <v>6</v>
      </c>
      <c r="AC20" s="175">
        <v>6</v>
      </c>
      <c r="AD20" s="175">
        <v>6</v>
      </c>
      <c r="AE20" s="175">
        <v>6</v>
      </c>
      <c r="AF20" s="172"/>
      <c r="AG20" s="172"/>
      <c r="AH20" s="175">
        <v>6</v>
      </c>
      <c r="AI20" s="175">
        <v>6</v>
      </c>
      <c r="AJ20" s="176"/>
      <c r="AK20" s="167">
        <f t="shared" si="3"/>
        <v>128</v>
      </c>
    </row>
    <row r="21" spans="1:37" ht="20.100000000000001" customHeight="1" thickBot="1">
      <c r="A21" s="150">
        <f t="shared" si="2"/>
        <v>7</v>
      </c>
      <c r="B21" s="193" t="s">
        <v>106</v>
      </c>
      <c r="C21" s="194">
        <v>3</v>
      </c>
      <c r="D21" s="211" t="s">
        <v>152</v>
      </c>
      <c r="E21" s="212"/>
      <c r="F21" s="175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6"/>
      <c r="AK21" s="167" t="str">
        <f t="shared" si="3"/>
        <v/>
      </c>
    </row>
    <row r="22" spans="1:37" ht="20.100000000000001" customHeight="1" thickBot="1">
      <c r="A22" s="150">
        <f t="shared" si="2"/>
        <v>0</v>
      </c>
      <c r="B22" s="193"/>
      <c r="C22" s="194"/>
      <c r="D22" s="211"/>
      <c r="E22" s="212"/>
      <c r="F22" s="175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6"/>
      <c r="AK22" s="167" t="str">
        <f t="shared" si="3"/>
        <v/>
      </c>
    </row>
    <row r="23" spans="1:37" ht="20.100000000000001" customHeight="1" thickBot="1">
      <c r="A23" s="150">
        <f t="shared" si="2"/>
        <v>0</v>
      </c>
      <c r="B23" s="193"/>
      <c r="C23" s="194"/>
      <c r="D23" s="211"/>
      <c r="E23" s="212"/>
      <c r="F23" s="175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6"/>
      <c r="AK23" s="167" t="str">
        <f t="shared" si="3"/>
        <v/>
      </c>
    </row>
    <row r="24" spans="1:37" ht="20.100000000000001" customHeight="1">
      <c r="A24" s="150"/>
      <c r="B24" s="190"/>
      <c r="C24" s="191"/>
      <c r="D24" s="213"/>
      <c r="E24" s="214"/>
      <c r="F24" s="175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6"/>
      <c r="AK24" s="167" t="str">
        <f t="shared" si="3"/>
        <v/>
      </c>
    </row>
    <row r="25" spans="1:37" ht="20.100000000000001" customHeight="1">
      <c r="A25" s="150"/>
      <c r="B25" s="190"/>
      <c r="C25" s="191"/>
      <c r="D25" s="213"/>
      <c r="E25" s="214"/>
      <c r="F25" s="175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6"/>
      <c r="AK25" s="167" t="str">
        <f t="shared" si="3"/>
        <v/>
      </c>
    </row>
    <row r="26" spans="1:37" ht="20.100000000000001" customHeight="1">
      <c r="A26" s="150"/>
      <c r="B26" s="190"/>
      <c r="C26" s="191"/>
      <c r="D26" s="213"/>
      <c r="E26" s="214"/>
      <c r="F26" s="175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6"/>
      <c r="AK26" s="167" t="str">
        <f t="shared" si="3"/>
        <v/>
      </c>
    </row>
    <row r="27" spans="1:37" ht="20.100000000000001" customHeight="1">
      <c r="A27" s="150"/>
      <c r="B27" s="190"/>
      <c r="C27" s="191"/>
      <c r="D27" s="213"/>
      <c r="E27" s="214"/>
      <c r="F27" s="175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6"/>
      <c r="AK27" s="167" t="str">
        <f t="shared" si="3"/>
        <v/>
      </c>
    </row>
    <row r="28" spans="1:37" ht="20.100000000000001" customHeight="1">
      <c r="A28" s="150"/>
      <c r="B28" s="190"/>
      <c r="C28" s="191"/>
      <c r="D28" s="213"/>
      <c r="E28" s="214"/>
      <c r="F28" s="175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6"/>
      <c r="AK28" s="167" t="str">
        <f t="shared" si="3"/>
        <v/>
      </c>
    </row>
    <row r="29" spans="1:37" ht="20.100000000000001" customHeight="1">
      <c r="A29" s="150"/>
      <c r="B29" s="190"/>
      <c r="C29" s="191"/>
      <c r="D29" s="213"/>
      <c r="E29" s="214"/>
      <c r="F29" s="175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6"/>
      <c r="AK29" s="167" t="str">
        <f t="shared" si="3"/>
        <v/>
      </c>
    </row>
    <row r="30" spans="1:37" ht="20.100000000000001" customHeight="1">
      <c r="A30" s="150"/>
      <c r="B30" s="190"/>
      <c r="C30" s="191"/>
      <c r="D30" s="213"/>
      <c r="E30" s="214"/>
      <c r="F30" s="175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6"/>
      <c r="AK30" s="167" t="str">
        <f t="shared" si="3"/>
        <v/>
      </c>
    </row>
    <row r="31" spans="1:37" ht="20.100000000000001" customHeight="1" thickBot="1">
      <c r="A31" s="151"/>
      <c r="B31" s="192"/>
      <c r="C31" s="189"/>
      <c r="D31" s="215"/>
      <c r="E31" s="216"/>
      <c r="F31" s="179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1"/>
      <c r="AK31" s="168" t="str">
        <f t="shared" si="3"/>
        <v/>
      </c>
    </row>
    <row r="32" spans="1:37" ht="26.25" customHeight="1" thickBot="1">
      <c r="B32" s="16"/>
      <c r="C32" s="16"/>
      <c r="D32" s="201" t="s">
        <v>129</v>
      </c>
      <c r="E32" s="202"/>
      <c r="F32" s="169">
        <f>+SUM(F15:F31)</f>
        <v>6</v>
      </c>
      <c r="G32" s="170">
        <f>+IF(SUM(G15:G31)=0,"",SUM(G15:G31))</f>
        <v>6</v>
      </c>
      <c r="H32" s="170">
        <f t="shared" ref="H32:AJ32" si="4">+IF(SUM(H15:H31)=0,"",SUM(H15:H31))</f>
        <v>6</v>
      </c>
      <c r="I32" s="170">
        <f t="shared" si="4"/>
        <v>6</v>
      </c>
      <c r="J32" s="170">
        <f t="shared" si="4"/>
        <v>6</v>
      </c>
      <c r="K32" s="170">
        <f t="shared" si="4"/>
        <v>10</v>
      </c>
      <c r="L32" s="170">
        <f t="shared" si="4"/>
        <v>4</v>
      </c>
      <c r="M32" s="170">
        <f t="shared" si="4"/>
        <v>6</v>
      </c>
      <c r="N32" s="170">
        <f t="shared" si="4"/>
        <v>6</v>
      </c>
      <c r="O32" s="170">
        <f t="shared" si="4"/>
        <v>6</v>
      </c>
      <c r="P32" s="170">
        <f t="shared" si="4"/>
        <v>6</v>
      </c>
      <c r="Q32" s="170">
        <f t="shared" si="4"/>
        <v>6</v>
      </c>
      <c r="R32" s="170" t="str">
        <f t="shared" si="4"/>
        <v/>
      </c>
      <c r="S32" s="170" t="str">
        <f t="shared" si="4"/>
        <v/>
      </c>
      <c r="T32" s="170">
        <f t="shared" si="4"/>
        <v>6</v>
      </c>
      <c r="U32" s="170">
        <f t="shared" si="4"/>
        <v>6</v>
      </c>
      <c r="V32" s="170" t="str">
        <f t="shared" si="4"/>
        <v/>
      </c>
      <c r="W32" s="170" t="str">
        <f t="shared" si="4"/>
        <v/>
      </c>
      <c r="X32" s="170" t="str">
        <f t="shared" si="4"/>
        <v/>
      </c>
      <c r="Y32" s="170" t="str">
        <f t="shared" si="4"/>
        <v/>
      </c>
      <c r="Z32" s="170" t="str">
        <f t="shared" si="4"/>
        <v/>
      </c>
      <c r="AA32" s="170">
        <f t="shared" si="4"/>
        <v>6</v>
      </c>
      <c r="AB32" s="170">
        <f t="shared" si="4"/>
        <v>6</v>
      </c>
      <c r="AC32" s="170">
        <f t="shared" si="4"/>
        <v>6</v>
      </c>
      <c r="AD32" s="170">
        <f t="shared" si="4"/>
        <v>6</v>
      </c>
      <c r="AE32" s="170">
        <f t="shared" si="4"/>
        <v>6</v>
      </c>
      <c r="AF32" s="170" t="str">
        <f t="shared" si="4"/>
        <v/>
      </c>
      <c r="AG32" s="170" t="str">
        <f t="shared" si="4"/>
        <v/>
      </c>
      <c r="AH32" s="170">
        <f t="shared" si="4"/>
        <v>6</v>
      </c>
      <c r="AI32" s="170">
        <f t="shared" si="4"/>
        <v>6</v>
      </c>
      <c r="AJ32" s="171" t="str">
        <f t="shared" si="4"/>
        <v/>
      </c>
      <c r="AK32" s="116">
        <f>+SUM(AK15:AK31)</f>
        <v>128</v>
      </c>
    </row>
    <row r="33" spans="1:36">
      <c r="B33" s="16"/>
      <c r="C33" s="16"/>
      <c r="D33" s="106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</row>
    <row r="34" spans="1:36">
      <c r="B34" s="16"/>
      <c r="C34" s="16"/>
      <c r="D34" s="106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</row>
    <row r="35" spans="1:36">
      <c r="B35" s="16"/>
      <c r="C35" s="16"/>
      <c r="D35" s="106"/>
      <c r="E35" s="1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</row>
    <row r="36" spans="1:36">
      <c r="B36" s="16"/>
      <c r="C36" s="16"/>
      <c r="D36" s="106"/>
      <c r="E36" s="1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36">
      <c r="B37" s="16"/>
      <c r="C37" s="106"/>
      <c r="D37" s="106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</row>
    <row r="38" spans="1:36">
      <c r="B38" s="58"/>
      <c r="C38" s="17"/>
      <c r="D38" s="49"/>
      <c r="E38" s="1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</row>
    <row r="39" spans="1:36">
      <c r="B39" s="58"/>
      <c r="C39" s="17"/>
      <c r="D39" s="49"/>
      <c r="E39" s="1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</row>
    <row r="40" spans="1:36">
      <c r="B40" s="58"/>
      <c r="C40" s="17"/>
      <c r="D40" s="49"/>
      <c r="E40" s="17"/>
      <c r="F40" s="185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</row>
    <row r="41" spans="1:36">
      <c r="B41" s="58"/>
      <c r="C41" s="17"/>
      <c r="D41" s="49"/>
      <c r="E41" s="1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3"/>
      <c r="AI41" s="3"/>
      <c r="AJ41" s="3"/>
    </row>
    <row r="42" spans="1:36">
      <c r="B42" s="58"/>
      <c r="C42" s="17"/>
      <c r="D42" s="49"/>
      <c r="E42" s="1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3"/>
      <c r="AI42" s="3"/>
      <c r="AJ42" s="3"/>
    </row>
    <row r="43" spans="1:36">
      <c r="A43" s="118"/>
      <c r="B43" s="58"/>
      <c r="C43" s="121"/>
      <c r="D43" s="49"/>
      <c r="E43" s="121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07"/>
      <c r="AF43" s="107"/>
      <c r="AG43" s="107"/>
      <c r="AH43" s="3"/>
      <c r="AI43" s="3"/>
      <c r="AJ43" s="3"/>
    </row>
    <row r="44" spans="1:36">
      <c r="A44" s="118"/>
      <c r="B44" s="122"/>
      <c r="C44" s="123"/>
      <c r="D44" s="123"/>
      <c r="E44" s="123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07"/>
      <c r="AF44" s="107"/>
      <c r="AG44" s="107"/>
      <c r="AH44" s="2"/>
      <c r="AI44" s="2"/>
      <c r="AJ44" s="2"/>
    </row>
    <row r="45" spans="1:36" hidden="1">
      <c r="A45" s="118" t="str">
        <f ca="1">+CELL("nombrearchivo")</f>
        <v>D:\proyectos\Administracion\Administracion de Proyectos\Timsesheet\Septiembre\[Timesheet_VAI_Cq.xlsm]Hoja1</v>
      </c>
      <c r="B45" s="124"/>
      <c r="C45" s="123"/>
      <c r="D45" s="123"/>
      <c r="E45" s="123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07"/>
      <c r="AF45" s="107"/>
      <c r="AG45" s="107"/>
      <c r="AH45" s="2"/>
      <c r="AI45" s="2"/>
      <c r="AJ45" s="2"/>
    </row>
    <row r="46" spans="1:36">
      <c r="A46" s="118"/>
      <c r="B46" s="123"/>
      <c r="C46" s="123"/>
      <c r="D46" s="123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07"/>
      <c r="AF46" s="107"/>
      <c r="AG46" s="107"/>
      <c r="AH46" s="2"/>
      <c r="AI46" s="2"/>
      <c r="AJ46" s="2"/>
    </row>
    <row r="47" spans="1:36">
      <c r="A47" s="118"/>
      <c r="B47" s="122"/>
      <c r="C47" s="122"/>
      <c r="D47" s="123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5"/>
      <c r="AC47" s="125"/>
      <c r="AD47" s="125"/>
      <c r="AE47" s="2"/>
      <c r="AF47" s="2"/>
      <c r="AG47" s="2"/>
      <c r="AH47" s="2"/>
      <c r="AI47" s="2"/>
      <c r="AJ47" s="2"/>
    </row>
    <row r="48" spans="1:36">
      <c r="A48" s="118"/>
      <c r="B48" s="122"/>
      <c r="C48" s="122"/>
      <c r="D48" s="123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5"/>
      <c r="AC48" s="125"/>
      <c r="AD48" s="125"/>
      <c r="AE48" s="2"/>
      <c r="AF48" s="2"/>
      <c r="AG48" s="2"/>
      <c r="AH48" s="2"/>
      <c r="AI48" s="2"/>
      <c r="AJ48" s="2"/>
    </row>
    <row r="49" spans="1:36">
      <c r="A49" s="118"/>
      <c r="B49" s="122"/>
      <c r="C49" s="122"/>
      <c r="D49" s="123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5"/>
      <c r="AC49" s="125"/>
      <c r="AD49" s="125"/>
      <c r="AE49" s="2"/>
      <c r="AF49" s="2"/>
      <c r="AG49" s="2"/>
      <c r="AH49" s="2"/>
      <c r="AI49" s="2"/>
      <c r="AJ49" s="2"/>
    </row>
    <row r="50" spans="1:36">
      <c r="A50" s="186" t="e">
        <f>+ADDRESS(14 + i, 5 + j)</f>
        <v>#NAME?</v>
      </c>
      <c r="B50" s="122"/>
      <c r="C50" s="122"/>
      <c r="D50" s="123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5"/>
      <c r="AC50" s="125"/>
      <c r="AD50" s="125"/>
      <c r="AE50" s="2"/>
      <c r="AF50" s="2"/>
      <c r="AG50" s="2"/>
      <c r="AH50" s="2"/>
      <c r="AI50" s="2"/>
      <c r="AJ50" s="2"/>
    </row>
    <row r="51" spans="1:36">
      <c r="A51" s="118"/>
      <c r="B51" s="122"/>
      <c r="C51" s="122"/>
      <c r="D51" s="123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5"/>
      <c r="AC51" s="125"/>
      <c r="AD51" s="125"/>
      <c r="AE51" s="2"/>
      <c r="AF51" s="2"/>
      <c r="AG51" s="2"/>
      <c r="AH51" s="2"/>
      <c r="AI51" s="2"/>
      <c r="AJ51" s="2"/>
    </row>
    <row r="52" spans="1:36">
      <c r="A52" s="118"/>
      <c r="B52" s="122"/>
      <c r="C52" s="122"/>
      <c r="D52" s="123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5"/>
      <c r="AC52" s="125"/>
      <c r="AD52" s="125"/>
      <c r="AE52" s="2"/>
      <c r="AF52" s="2"/>
      <c r="AG52" s="2"/>
      <c r="AH52" s="2"/>
      <c r="AI52" s="2"/>
      <c r="AJ52" s="2"/>
    </row>
    <row r="53" spans="1:36">
      <c r="A53" s="118"/>
      <c r="B53" s="122"/>
      <c r="C53" s="122"/>
      <c r="D53" s="123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5"/>
      <c r="X53" s="120"/>
      <c r="Y53" s="120"/>
      <c r="Z53" s="120"/>
      <c r="AA53" s="120"/>
      <c r="AB53" s="125"/>
      <c r="AC53" s="125"/>
      <c r="AD53" s="125"/>
      <c r="AE53" s="2"/>
      <c r="AF53" s="2"/>
      <c r="AG53" s="2"/>
      <c r="AH53" s="2"/>
      <c r="AI53" s="2"/>
      <c r="AJ53" s="2"/>
    </row>
    <row r="54" spans="1:36">
      <c r="A54" s="118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2"/>
      <c r="AF54" s="2"/>
      <c r="AG54" s="2"/>
      <c r="AH54" s="2"/>
    </row>
    <row r="55" spans="1:36">
      <c r="A55" s="118"/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2"/>
      <c r="AF55" s="2"/>
      <c r="AG55" s="2"/>
      <c r="AH55" s="2"/>
    </row>
    <row r="56" spans="1:36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6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6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6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6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6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6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6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6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2:34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2:34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2:34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2:34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2:34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2:34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2:34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2:34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2:34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2:34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2:34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2:34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2:34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2:34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2:34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2:34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2:34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2:34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2:34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117" spans="2:29">
      <c r="C117" s="2"/>
      <c r="D117" s="2"/>
      <c r="E117" s="2"/>
      <c r="I117" s="6"/>
      <c r="M117" s="5"/>
      <c r="P117" s="99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2:29">
      <c r="B118" s="4"/>
      <c r="C118" s="2"/>
      <c r="D118" s="2"/>
      <c r="E118" s="2"/>
      <c r="G118" s="4"/>
      <c r="I118" s="7" t="s">
        <v>14</v>
      </c>
      <c r="J118" s="7" t="s">
        <v>15</v>
      </c>
      <c r="P118" s="100"/>
      <c r="Q118" s="100"/>
      <c r="R118" s="100"/>
      <c r="S118" s="100"/>
      <c r="T118" s="195"/>
      <c r="U118" s="195"/>
      <c r="V118" s="195"/>
      <c r="W118" s="195"/>
      <c r="X118" s="195"/>
      <c r="Y118" s="195"/>
      <c r="Z118" s="195"/>
      <c r="AA118" s="195"/>
      <c r="AB118" s="2"/>
      <c r="AC118" s="2"/>
    </row>
    <row r="119" spans="2:29" ht="85.5" customHeight="1">
      <c r="B119" s="4"/>
      <c r="C119" s="2"/>
      <c r="D119" s="16"/>
      <c r="E119" s="16"/>
      <c r="G119" s="4"/>
      <c r="I119" s="8">
        <v>1</v>
      </c>
      <c r="J119" s="8" t="s">
        <v>121</v>
      </c>
      <c r="P119" s="22"/>
      <c r="Q119" s="16"/>
      <c r="R119" s="37"/>
      <c r="S119" s="17"/>
      <c r="T119" s="21"/>
      <c r="U119" s="2"/>
      <c r="V119" s="2"/>
      <c r="W119" s="2"/>
      <c r="X119" s="2"/>
      <c r="Y119" s="2"/>
      <c r="Z119" s="2"/>
      <c r="AA119" s="2"/>
      <c r="AB119" s="2"/>
      <c r="AC119" s="2"/>
    </row>
    <row r="120" spans="2:29" ht="15" customHeight="1">
      <c r="B120" s="4"/>
      <c r="C120" s="2"/>
      <c r="D120" s="16"/>
      <c r="E120" s="16"/>
      <c r="G120" s="4"/>
      <c r="I120" s="8">
        <v>2</v>
      </c>
      <c r="J120" s="8" t="s">
        <v>122</v>
      </c>
      <c r="P120" s="21"/>
      <c r="Q120" s="16"/>
      <c r="R120" s="86"/>
      <c r="S120" s="17"/>
      <c r="T120" s="23"/>
      <c r="U120" s="2"/>
      <c r="V120" s="2"/>
      <c r="W120" s="2"/>
      <c r="X120" s="2"/>
      <c r="Y120" s="2"/>
      <c r="Z120" s="2"/>
      <c r="AA120" s="2"/>
      <c r="AB120" s="2"/>
      <c r="AC120" s="2"/>
    </row>
    <row r="121" spans="2:29" ht="15" customHeight="1">
      <c r="B121" s="4"/>
      <c r="C121" s="2"/>
      <c r="D121" s="16"/>
      <c r="E121" s="16"/>
      <c r="G121" s="4"/>
      <c r="I121" s="8">
        <v>3</v>
      </c>
      <c r="J121" s="8" t="s">
        <v>122</v>
      </c>
      <c r="P121" s="21"/>
      <c r="Q121" s="16"/>
      <c r="R121" s="86"/>
      <c r="S121" s="17"/>
      <c r="T121" s="21"/>
      <c r="U121" s="2"/>
      <c r="V121" s="2"/>
      <c r="W121" s="2"/>
      <c r="X121" s="2"/>
      <c r="Y121" s="2"/>
      <c r="Z121" s="2"/>
      <c r="AA121" s="2"/>
      <c r="AB121" s="2"/>
      <c r="AC121" s="2"/>
    </row>
    <row r="122" spans="2:29" ht="15" customHeight="1">
      <c r="B122" s="4"/>
      <c r="C122" s="2"/>
      <c r="D122" s="16"/>
      <c r="E122" s="16"/>
      <c r="G122" s="4"/>
      <c r="I122" s="8">
        <v>4</v>
      </c>
      <c r="J122" s="8" t="s">
        <v>123</v>
      </c>
      <c r="P122" s="21"/>
      <c r="Q122" s="16"/>
      <c r="R122" s="86"/>
      <c r="S122" s="17"/>
      <c r="T122" s="21"/>
      <c r="U122" s="2"/>
      <c r="V122" s="2"/>
      <c r="W122" s="2"/>
      <c r="X122" s="2"/>
      <c r="Y122" s="2"/>
      <c r="Z122" s="2"/>
      <c r="AA122" s="2"/>
      <c r="AB122" s="2"/>
      <c r="AC122" s="2"/>
    </row>
    <row r="123" spans="2:29" ht="15" customHeight="1">
      <c r="B123" s="4"/>
      <c r="C123" s="16"/>
      <c r="D123" s="16"/>
      <c r="E123" s="16"/>
      <c r="G123" s="4"/>
      <c r="I123" s="8">
        <v>5</v>
      </c>
      <c r="J123" s="8" t="s">
        <v>124</v>
      </c>
      <c r="P123" s="21"/>
      <c r="Q123" s="16"/>
      <c r="R123" s="86"/>
      <c r="S123" s="17"/>
      <c r="T123" s="21"/>
      <c r="U123" s="2"/>
      <c r="V123" s="2"/>
      <c r="W123" s="2"/>
      <c r="X123" s="2"/>
      <c r="Y123" s="2"/>
      <c r="Z123" s="2"/>
      <c r="AA123" s="2"/>
      <c r="AB123" s="2"/>
      <c r="AC123" s="2"/>
    </row>
    <row r="124" spans="2:29" ht="15" customHeight="1">
      <c r="B124" s="4"/>
      <c r="C124" s="16"/>
      <c r="D124" s="16"/>
      <c r="E124" s="16"/>
      <c r="G124" s="4"/>
      <c r="I124" s="8">
        <v>6</v>
      </c>
      <c r="J124" s="8" t="s">
        <v>125</v>
      </c>
      <c r="P124" s="55"/>
      <c r="Q124" s="16"/>
      <c r="R124" s="37"/>
      <c r="S124" s="17"/>
      <c r="T124" s="61"/>
      <c r="U124" s="2"/>
      <c r="V124" s="2"/>
      <c r="W124" s="2"/>
      <c r="X124" s="2"/>
      <c r="Y124" s="2"/>
      <c r="Z124" s="2"/>
      <c r="AA124" s="2"/>
      <c r="AB124" s="2"/>
      <c r="AC124" s="2"/>
    </row>
    <row r="125" spans="2:29" ht="30.75" customHeight="1">
      <c r="B125" s="4"/>
      <c r="C125" s="16"/>
      <c r="D125" s="16"/>
      <c r="E125" s="16"/>
      <c r="G125" s="4"/>
      <c r="I125" s="8">
        <v>7</v>
      </c>
      <c r="J125" s="8" t="s">
        <v>126</v>
      </c>
      <c r="P125" s="55"/>
      <c r="Q125" s="16"/>
      <c r="R125" s="37"/>
      <c r="S125" s="17"/>
      <c r="T125" s="61"/>
      <c r="U125" s="2"/>
      <c r="V125" s="2"/>
      <c r="W125" s="2"/>
      <c r="X125" s="2"/>
      <c r="Y125" s="2"/>
      <c r="Z125" s="2"/>
      <c r="AA125" s="2"/>
      <c r="AB125" s="2"/>
      <c r="AC125" s="2"/>
    </row>
    <row r="126" spans="2:29" ht="40.5" customHeight="1">
      <c r="B126" s="4"/>
      <c r="C126" s="2"/>
      <c r="D126" s="2"/>
      <c r="E126" s="2"/>
      <c r="G126" s="4"/>
      <c r="P126" s="22"/>
      <c r="Q126" s="16"/>
      <c r="R126" s="49"/>
      <c r="S126" s="17"/>
      <c r="T126" s="62"/>
      <c r="U126" s="2"/>
      <c r="V126" s="2"/>
      <c r="W126" s="2"/>
      <c r="X126" s="2"/>
      <c r="Y126" s="2"/>
      <c r="Z126" s="2"/>
      <c r="AA126" s="2"/>
      <c r="AB126" s="2"/>
      <c r="AC126" s="2"/>
    </row>
    <row r="127" spans="2:29" ht="15" customHeight="1">
      <c r="B127" s="4"/>
      <c r="G127" s="4"/>
      <c r="P127" s="22"/>
      <c r="Q127" s="2"/>
      <c r="R127" s="49"/>
      <c r="S127" s="17"/>
      <c r="T127" s="63"/>
      <c r="U127" s="2"/>
      <c r="V127" s="2"/>
      <c r="W127" s="2"/>
      <c r="X127" s="2"/>
      <c r="Y127" s="2"/>
      <c r="Z127" s="2"/>
      <c r="AA127" s="2"/>
      <c r="AB127" s="2"/>
      <c r="AC127" s="2"/>
    </row>
    <row r="128" spans="2:29" ht="15" customHeight="1">
      <c r="B128" s="4"/>
      <c r="G128" s="4"/>
      <c r="P128" s="22"/>
      <c r="Q128" s="2"/>
      <c r="R128" s="49"/>
      <c r="S128" s="17"/>
      <c r="T128" s="62"/>
      <c r="U128" s="2"/>
      <c r="V128" s="2"/>
      <c r="W128" s="2"/>
      <c r="X128" s="2"/>
      <c r="Y128" s="2"/>
      <c r="Z128" s="2"/>
      <c r="AA128" s="2"/>
      <c r="AB128" s="2"/>
      <c r="AC128" s="2"/>
    </row>
    <row r="129" spans="2:29" ht="15" customHeight="1">
      <c r="B129" s="4"/>
      <c r="F129" s="4"/>
      <c r="G129" s="4"/>
      <c r="P129" s="22"/>
      <c r="Q129" s="2"/>
      <c r="R129" s="49"/>
      <c r="S129" s="17"/>
      <c r="T129" s="63"/>
      <c r="U129" s="2"/>
      <c r="V129" s="2"/>
      <c r="W129" s="2"/>
      <c r="X129" s="2"/>
      <c r="Y129" s="2"/>
      <c r="Z129" s="2"/>
      <c r="AA129" s="2"/>
      <c r="AB129" s="2"/>
      <c r="AC129" s="2"/>
    </row>
    <row r="130" spans="2:29" ht="15" customHeight="1">
      <c r="P130" s="22"/>
      <c r="Q130" s="2"/>
      <c r="R130" s="49"/>
      <c r="S130" s="17"/>
      <c r="T130" s="62"/>
      <c r="U130" s="2"/>
      <c r="V130" s="2"/>
      <c r="W130" s="2"/>
      <c r="X130" s="2"/>
      <c r="Y130" s="2"/>
      <c r="Z130" s="2"/>
      <c r="AA130" s="2"/>
      <c r="AB130" s="2"/>
      <c r="AC130" s="2"/>
    </row>
    <row r="131" spans="2:29" ht="15" customHeight="1">
      <c r="P131" s="22"/>
      <c r="Q131" s="2"/>
      <c r="R131" s="49"/>
      <c r="S131" s="17"/>
      <c r="T131" s="62"/>
      <c r="U131" s="2"/>
      <c r="V131" s="2"/>
      <c r="W131" s="2"/>
      <c r="X131" s="2"/>
      <c r="Y131" s="2"/>
      <c r="Z131" s="2"/>
      <c r="AA131" s="2"/>
      <c r="AB131" s="2"/>
      <c r="AC131" s="2"/>
    </row>
    <row r="132" spans="2:29" ht="15" customHeight="1">
      <c r="P132" s="22"/>
      <c r="Q132" s="2"/>
      <c r="R132" s="49"/>
      <c r="S132" s="17"/>
      <c r="T132" s="63"/>
      <c r="U132" s="2"/>
      <c r="V132" s="2"/>
      <c r="W132" s="2"/>
      <c r="X132" s="2"/>
      <c r="Y132" s="2"/>
      <c r="Z132" s="2"/>
      <c r="AA132" s="2"/>
      <c r="AB132" s="2"/>
      <c r="AC132" s="2"/>
    </row>
    <row r="133" spans="2:29" ht="15" customHeight="1">
      <c r="P133" s="22"/>
      <c r="Q133" s="2"/>
      <c r="R133" s="49"/>
      <c r="S133" s="17"/>
      <c r="T133" s="62"/>
      <c r="U133" s="2"/>
      <c r="V133" s="2"/>
      <c r="W133" s="2"/>
      <c r="X133" s="2"/>
      <c r="Y133" s="2"/>
      <c r="Z133" s="2"/>
      <c r="AA133" s="2"/>
      <c r="AB133" s="2"/>
      <c r="AC133" s="2"/>
    </row>
    <row r="134" spans="2:29" ht="15" customHeight="1">
      <c r="P134" s="22"/>
      <c r="Q134" s="2"/>
      <c r="R134" s="49"/>
      <c r="S134" s="17"/>
      <c r="T134" s="62"/>
      <c r="U134" s="2"/>
      <c r="V134" s="2"/>
      <c r="W134" s="2"/>
      <c r="X134" s="2"/>
      <c r="Y134" s="2"/>
      <c r="Z134" s="2"/>
      <c r="AA134" s="2"/>
      <c r="AB134" s="2"/>
      <c r="AC134" s="2"/>
    </row>
    <row r="135" spans="2:29" ht="15" customHeight="1">
      <c r="P135" s="22"/>
      <c r="Q135" s="2"/>
      <c r="R135" s="49"/>
      <c r="S135" s="17"/>
      <c r="T135" s="63"/>
      <c r="U135" s="2"/>
      <c r="V135" s="2"/>
      <c r="W135" s="2"/>
      <c r="X135" s="2"/>
      <c r="Y135" s="2"/>
      <c r="Z135" s="2"/>
      <c r="AA135" s="2"/>
      <c r="AB135" s="2"/>
      <c r="AC135" s="2"/>
    </row>
    <row r="136" spans="2:29" ht="44.25" customHeight="1">
      <c r="P136" s="22"/>
      <c r="Q136" s="16"/>
      <c r="R136" s="49"/>
      <c r="S136" s="17"/>
      <c r="T136" s="56"/>
      <c r="U136" s="2"/>
      <c r="V136" s="2"/>
      <c r="W136" s="2"/>
      <c r="X136" s="2"/>
      <c r="Y136" s="2"/>
      <c r="Z136" s="2"/>
      <c r="AA136" s="2"/>
      <c r="AB136" s="2"/>
      <c r="AC136" s="2"/>
    </row>
    <row r="137" spans="2:29" ht="15" customHeight="1">
      <c r="P137" s="22"/>
      <c r="Q137" s="2"/>
      <c r="R137" s="49"/>
      <c r="S137" s="17"/>
      <c r="T137" s="64"/>
      <c r="U137" s="2"/>
      <c r="V137" s="2"/>
      <c r="W137" s="2"/>
      <c r="X137" s="2"/>
      <c r="Y137" s="2"/>
      <c r="Z137" s="2"/>
      <c r="AA137" s="2"/>
      <c r="AB137" s="2"/>
      <c r="AC137" s="2"/>
    </row>
    <row r="138" spans="2:29" ht="15" customHeight="1">
      <c r="P138" s="22"/>
      <c r="Q138" s="2"/>
      <c r="R138" s="49"/>
      <c r="S138" s="17"/>
      <c r="T138" s="65"/>
      <c r="U138" s="2"/>
      <c r="V138" s="2"/>
      <c r="W138" s="2"/>
      <c r="X138" s="2"/>
      <c r="Y138" s="2"/>
      <c r="Z138" s="2"/>
      <c r="AA138" s="2"/>
      <c r="AB138" s="2"/>
      <c r="AC138" s="2"/>
    </row>
    <row r="139" spans="2:29" ht="63.75" customHeight="1">
      <c r="P139" s="23"/>
      <c r="Q139" s="16"/>
      <c r="R139" s="86"/>
      <c r="S139" s="17"/>
      <c r="T139" s="66"/>
      <c r="U139" s="2"/>
      <c r="V139" s="2"/>
      <c r="W139" s="2"/>
      <c r="X139" s="2"/>
      <c r="Y139" s="2"/>
      <c r="Z139" s="2"/>
      <c r="AA139" s="2"/>
      <c r="AB139" s="2"/>
      <c r="AC139" s="2"/>
    </row>
    <row r="140" spans="2:29" ht="15" customHeight="1">
      <c r="P140" s="24"/>
      <c r="Q140" s="2"/>
      <c r="R140" s="86"/>
      <c r="S140" s="17"/>
      <c r="T140" s="66"/>
      <c r="U140" s="2"/>
      <c r="V140" s="2"/>
      <c r="W140" s="2"/>
      <c r="X140" s="2"/>
      <c r="Y140" s="2"/>
      <c r="Z140" s="2"/>
      <c r="AA140" s="2"/>
      <c r="AB140" s="2"/>
      <c r="AC140" s="2"/>
    </row>
    <row r="141" spans="2:29" ht="15" customHeight="1">
      <c r="P141" s="24"/>
      <c r="Q141" s="2"/>
      <c r="R141" s="86"/>
      <c r="S141" s="17"/>
      <c r="T141" s="66"/>
      <c r="U141" s="2"/>
      <c r="V141" s="2"/>
      <c r="W141" s="2"/>
      <c r="X141" s="2"/>
      <c r="Y141" s="2"/>
      <c r="Z141" s="2"/>
      <c r="AA141" s="2"/>
      <c r="AB141" s="2"/>
      <c r="AC141" s="2"/>
    </row>
    <row r="142" spans="2:29" ht="15" customHeight="1">
      <c r="P142" s="24"/>
      <c r="Q142" s="2"/>
      <c r="R142" s="86"/>
      <c r="S142" s="17"/>
      <c r="T142" s="66"/>
      <c r="U142" s="2"/>
      <c r="V142" s="2"/>
      <c r="W142" s="2"/>
      <c r="X142" s="2"/>
      <c r="Y142" s="2"/>
      <c r="Z142" s="2"/>
      <c r="AA142" s="2"/>
      <c r="AB142" s="2"/>
      <c r="AC142" s="2"/>
    </row>
    <row r="143" spans="2:29" ht="15" customHeight="1">
      <c r="P143" s="24"/>
      <c r="Q143" s="2"/>
      <c r="R143" s="86"/>
      <c r="S143" s="17"/>
      <c r="T143" s="66"/>
      <c r="U143" s="2"/>
      <c r="V143" s="2"/>
      <c r="W143" s="2"/>
      <c r="X143" s="2"/>
      <c r="Y143" s="2"/>
      <c r="Z143" s="2"/>
      <c r="AA143" s="2"/>
      <c r="AB143" s="2"/>
      <c r="AC143" s="2"/>
    </row>
    <row r="144" spans="2:29" ht="45.75" customHeight="1">
      <c r="P144" s="22"/>
      <c r="Q144" s="2"/>
      <c r="R144" s="37"/>
      <c r="S144" s="17"/>
      <c r="T144" s="65"/>
      <c r="U144" s="2"/>
      <c r="V144" s="2"/>
      <c r="W144" s="2"/>
      <c r="X144" s="2"/>
      <c r="Y144" s="2"/>
      <c r="Z144" s="2"/>
      <c r="AA144" s="2"/>
      <c r="AB144" s="2"/>
      <c r="AC144" s="2"/>
    </row>
    <row r="145" spans="16:29" ht="15" customHeight="1">
      <c r="P145" s="24"/>
      <c r="Q145" s="2"/>
      <c r="R145" s="86"/>
      <c r="S145" s="17"/>
      <c r="T145" s="67"/>
      <c r="U145" s="2"/>
      <c r="V145" s="2"/>
      <c r="W145" s="2"/>
      <c r="X145" s="2"/>
      <c r="Y145" s="2"/>
      <c r="Z145" s="2"/>
      <c r="AA145" s="2"/>
      <c r="AB145" s="2"/>
      <c r="AC145" s="2"/>
    </row>
    <row r="146" spans="16:29" ht="36.75" customHeight="1">
      <c r="P146" s="58"/>
      <c r="Q146" s="2"/>
      <c r="R146" s="49"/>
      <c r="S146" s="17"/>
      <c r="T146" s="59"/>
      <c r="U146" s="2"/>
      <c r="V146" s="2"/>
      <c r="W146" s="2"/>
      <c r="X146" s="2"/>
      <c r="Y146" s="2"/>
      <c r="Z146" s="2"/>
      <c r="AA146" s="2"/>
      <c r="AB146" s="2"/>
      <c r="AC146" s="2"/>
    </row>
    <row r="147" spans="16:29" ht="15" customHeight="1">
      <c r="P147" s="25"/>
      <c r="Q147" s="2"/>
      <c r="R147" s="49"/>
      <c r="S147" s="17"/>
      <c r="T147" s="68"/>
      <c r="U147" s="2"/>
      <c r="V147" s="2"/>
      <c r="W147" s="2"/>
      <c r="X147" s="2"/>
      <c r="Y147" s="2"/>
      <c r="Z147" s="2"/>
      <c r="AA147" s="2"/>
      <c r="AB147" s="2"/>
      <c r="AC147" s="2"/>
    </row>
    <row r="148" spans="16:29" ht="15" customHeight="1">
      <c r="P148" s="25"/>
      <c r="Q148" s="2"/>
      <c r="R148" s="49"/>
      <c r="S148" s="17"/>
      <c r="T148" s="68"/>
      <c r="U148" s="2"/>
      <c r="V148" s="2"/>
      <c r="W148" s="2"/>
      <c r="X148" s="2"/>
      <c r="Y148" s="2"/>
      <c r="Z148" s="2"/>
      <c r="AA148" s="2"/>
      <c r="AB148" s="2"/>
      <c r="AC148" s="2"/>
    </row>
    <row r="149" spans="16:29" ht="15" customHeight="1">
      <c r="P149" s="25"/>
      <c r="Q149" s="2"/>
      <c r="R149" s="49"/>
      <c r="S149" s="17"/>
      <c r="T149" s="68"/>
      <c r="U149" s="2"/>
      <c r="V149" s="2"/>
      <c r="W149" s="2"/>
      <c r="X149" s="2"/>
      <c r="Y149" s="2"/>
      <c r="Z149" s="2"/>
      <c r="AA149" s="2"/>
      <c r="AB149" s="2"/>
      <c r="AC149" s="2"/>
    </row>
    <row r="150" spans="16:29" ht="15" customHeight="1">
      <c r="P150" s="25"/>
      <c r="Q150" s="2"/>
      <c r="R150" s="49"/>
      <c r="S150" s="17"/>
      <c r="T150" s="68"/>
      <c r="U150" s="2"/>
      <c r="V150" s="2"/>
      <c r="W150" s="2"/>
      <c r="X150" s="2"/>
      <c r="Y150" s="2"/>
      <c r="Z150" s="2"/>
      <c r="AA150" s="2"/>
      <c r="AB150" s="2"/>
      <c r="AC150" s="2"/>
    </row>
    <row r="151" spans="16:29" ht="15" customHeight="1">
      <c r="P151" s="25"/>
      <c r="Q151" s="2"/>
      <c r="R151" s="49"/>
      <c r="S151" s="17"/>
      <c r="T151" s="68"/>
      <c r="U151" s="2"/>
      <c r="V151" s="2"/>
      <c r="W151" s="2"/>
      <c r="X151" s="2"/>
      <c r="Y151" s="2"/>
      <c r="Z151" s="2"/>
      <c r="AA151" s="2"/>
      <c r="AB151" s="2"/>
      <c r="AC151" s="2"/>
    </row>
    <row r="152" spans="16:29" ht="36.75" customHeight="1">
      <c r="P152" s="26"/>
      <c r="Q152" s="2"/>
      <c r="R152" s="91"/>
      <c r="S152" s="17"/>
      <c r="T152" s="27"/>
      <c r="U152" s="2"/>
      <c r="V152" s="2"/>
      <c r="W152" s="2"/>
      <c r="X152" s="2"/>
      <c r="Y152" s="2"/>
      <c r="Z152" s="2"/>
      <c r="AA152" s="2"/>
      <c r="AB152" s="2"/>
      <c r="AC152" s="2"/>
    </row>
    <row r="153" spans="16:29" ht="15" customHeight="1">
      <c r="P153" s="27"/>
      <c r="Q153" s="2"/>
      <c r="R153" s="91"/>
      <c r="S153" s="17"/>
      <c r="T153" s="27"/>
      <c r="U153" s="2"/>
      <c r="V153" s="2"/>
      <c r="W153" s="2"/>
      <c r="X153" s="2"/>
      <c r="Y153" s="2"/>
      <c r="Z153" s="2"/>
      <c r="AA153" s="2"/>
      <c r="AB153" s="2"/>
      <c r="AC153" s="2"/>
    </row>
    <row r="154" spans="16:29" ht="15" customHeight="1">
      <c r="P154" s="27"/>
      <c r="Q154" s="2"/>
      <c r="R154" s="91"/>
      <c r="S154" s="17"/>
      <c r="T154" s="27"/>
      <c r="U154" s="2"/>
      <c r="V154" s="2"/>
      <c r="W154" s="2"/>
      <c r="X154" s="2"/>
      <c r="Y154" s="2"/>
      <c r="Z154" s="2"/>
      <c r="AA154" s="2"/>
      <c r="AB154" s="2"/>
      <c r="AC154" s="2"/>
    </row>
    <row r="155" spans="16:29" ht="15" customHeight="1">
      <c r="P155" s="27"/>
      <c r="Q155" s="2"/>
      <c r="R155" s="91"/>
      <c r="S155" s="17"/>
      <c r="T155" s="27"/>
      <c r="U155" s="2"/>
      <c r="V155" s="2"/>
      <c r="W155" s="2"/>
      <c r="X155" s="2"/>
      <c r="Y155" s="2"/>
      <c r="Z155" s="2"/>
      <c r="AA155" s="2"/>
      <c r="AB155" s="2"/>
      <c r="AC155" s="2"/>
    </row>
    <row r="156" spans="16:29" ht="72.75" customHeight="1">
      <c r="P156" s="26"/>
      <c r="Q156" s="2"/>
      <c r="R156" s="91"/>
      <c r="S156" s="17"/>
      <c r="T156" s="27"/>
      <c r="U156" s="2"/>
      <c r="V156" s="2"/>
      <c r="W156" s="2"/>
      <c r="X156" s="2"/>
      <c r="Y156" s="2"/>
      <c r="Z156" s="2"/>
      <c r="AA156" s="2"/>
      <c r="AB156" s="2"/>
      <c r="AC156" s="2"/>
    </row>
    <row r="157" spans="16:29" ht="15" customHeight="1">
      <c r="P157" s="27"/>
      <c r="Q157" s="2"/>
      <c r="R157" s="91"/>
      <c r="S157" s="17"/>
      <c r="T157" s="27"/>
      <c r="U157" s="2"/>
      <c r="V157" s="2"/>
      <c r="W157" s="2"/>
      <c r="X157" s="2"/>
      <c r="Y157" s="2"/>
      <c r="Z157" s="2"/>
      <c r="AA157" s="2"/>
      <c r="AB157" s="2"/>
      <c r="AC157" s="2"/>
    </row>
    <row r="158" spans="16:29" ht="15" customHeight="1">
      <c r="P158" s="27"/>
      <c r="Q158" s="2"/>
      <c r="R158" s="91"/>
      <c r="S158" s="17"/>
      <c r="T158" s="27"/>
      <c r="U158" s="2"/>
      <c r="V158" s="2"/>
      <c r="W158" s="2"/>
      <c r="X158" s="2"/>
      <c r="Y158" s="2"/>
      <c r="Z158" s="2"/>
      <c r="AA158" s="2"/>
      <c r="AB158" s="2"/>
      <c r="AC158" s="2"/>
    </row>
    <row r="159" spans="16:29" ht="15" customHeight="1">
      <c r="P159" s="27"/>
      <c r="Q159" s="2"/>
      <c r="R159" s="91"/>
      <c r="S159" s="17"/>
      <c r="T159" s="27"/>
      <c r="U159" s="2"/>
      <c r="V159" s="2"/>
      <c r="W159" s="2"/>
      <c r="X159" s="2"/>
      <c r="Y159" s="2"/>
      <c r="Z159" s="2"/>
      <c r="AA159" s="2"/>
      <c r="AB159" s="2"/>
      <c r="AC159" s="2"/>
    </row>
    <row r="160" spans="16:2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</sheetData>
  <mergeCells count="21">
    <mergeCell ref="D27:E27"/>
    <mergeCell ref="D28:E28"/>
    <mergeCell ref="D29:E29"/>
    <mergeCell ref="D30:E30"/>
    <mergeCell ref="D31:E31"/>
    <mergeCell ref="T118:AA118"/>
    <mergeCell ref="A2:AJ2"/>
    <mergeCell ref="D14:E14"/>
    <mergeCell ref="D32:E3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</mergeCells>
  <conditionalFormatting sqref="F14:AJ14">
    <cfRule type="containsText" dxfId="3" priority="7" operator="containsText" text="D">
      <formula>NOT(ISERROR(SEARCH("D",F14)))</formula>
    </cfRule>
    <cfRule type="containsText" dxfId="2" priority="8" operator="containsText" text="S">
      <formula>NOT(ISERROR(SEARCH("S",F14)))</formula>
    </cfRule>
    <cfRule type="cellIs" dxfId="1" priority="10" operator="equal">
      <formula>"""Sabado"""</formula>
    </cfRule>
  </conditionalFormatting>
  <conditionalFormatting sqref="K14">
    <cfRule type="cellIs" dxfId="0" priority="9" operator="equal">
      <formula>"""S"""</formula>
    </cfRule>
  </conditionalFormatting>
  <pageMargins left="0.7" right="0.7" top="0.75" bottom="0.75" header="0.3" footer="0.3"/>
  <pageSetup orientation="portrait" r:id="rId1"/>
  <ignoredErrors>
    <ignoredError sqref="G14:H14 J14:AJ14" unlockedFormula="1"/>
  </ignoredErrors>
  <legacyDrawing r:id="rId2"/>
  <controls>
    <control shapeId="1635" r:id="rId3" name="Exportar_Hora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L47"/>
  <sheetViews>
    <sheetView topLeftCell="A31" workbookViewId="0">
      <selection activeCell="C18" sqref="C18"/>
    </sheetView>
  </sheetViews>
  <sheetFormatPr baseColWidth="10" defaultRowHeight="15"/>
  <cols>
    <col min="1" max="1" width="17" bestFit="1" customWidth="1"/>
    <col min="2" max="2" width="6.5703125" bestFit="1" customWidth="1"/>
    <col min="3" max="3" width="69" customWidth="1"/>
    <col min="4" max="4" width="14.7109375" bestFit="1" customWidth="1"/>
  </cols>
  <sheetData>
    <row r="1" spans="1:12" ht="15.75" thickBot="1">
      <c r="A1" s="6" t="s">
        <v>111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5.75" thickBot="1">
      <c r="A2" s="85" t="s">
        <v>48</v>
      </c>
      <c r="B2" s="9" t="s">
        <v>13</v>
      </c>
      <c r="C2" s="84" t="s">
        <v>47</v>
      </c>
      <c r="D2" s="35" t="s">
        <v>41</v>
      </c>
      <c r="E2" s="217" t="s">
        <v>49</v>
      </c>
      <c r="F2" s="218"/>
      <c r="G2" s="218"/>
      <c r="H2" s="218"/>
      <c r="I2" s="218"/>
      <c r="J2" s="218"/>
      <c r="K2" s="218"/>
      <c r="L2" s="219"/>
    </row>
    <row r="3" spans="1:12" ht="15.75" thickBot="1">
      <c r="A3" s="101"/>
      <c r="B3" s="85"/>
      <c r="C3" s="84"/>
      <c r="D3" s="117"/>
      <c r="E3" s="114"/>
      <c r="F3" s="114"/>
      <c r="G3" s="114"/>
      <c r="H3" s="114"/>
      <c r="I3" s="114"/>
      <c r="J3" s="114"/>
      <c r="K3" s="114"/>
      <c r="L3" s="115"/>
    </row>
    <row r="4" spans="1:12" ht="15.75" thickBot="1">
      <c r="A4" s="101">
        <v>1</v>
      </c>
      <c r="B4" s="36">
        <v>1</v>
      </c>
      <c r="C4" s="102" t="s">
        <v>113</v>
      </c>
      <c r="D4" s="103" t="s">
        <v>115</v>
      </c>
      <c r="E4" s="105" t="s">
        <v>116</v>
      </c>
      <c r="F4" s="28"/>
      <c r="G4" s="28"/>
      <c r="H4" s="28"/>
      <c r="I4" s="28"/>
      <c r="J4" s="28"/>
      <c r="K4" s="28"/>
      <c r="L4" s="29"/>
    </row>
    <row r="5" spans="1:12" ht="15.75" thickBot="1">
      <c r="A5" s="101">
        <v>2</v>
      </c>
      <c r="B5" s="35">
        <v>1</v>
      </c>
      <c r="C5" s="102" t="s">
        <v>114</v>
      </c>
      <c r="D5" s="104" t="s">
        <v>115</v>
      </c>
      <c r="E5" s="105" t="s">
        <v>117</v>
      </c>
      <c r="F5" s="28"/>
      <c r="G5" s="28"/>
      <c r="H5" s="28"/>
      <c r="I5" s="28"/>
      <c r="J5" s="28"/>
      <c r="K5" s="28"/>
      <c r="L5" s="29"/>
    </row>
    <row r="6" spans="1:12">
      <c r="A6" s="38" t="s">
        <v>40</v>
      </c>
      <c r="B6" s="45">
        <v>1</v>
      </c>
      <c r="C6" s="32" t="s">
        <v>33</v>
      </c>
      <c r="D6" s="92" t="s">
        <v>42</v>
      </c>
      <c r="E6" s="69" t="s">
        <v>51</v>
      </c>
      <c r="F6" s="11"/>
      <c r="G6" s="11"/>
      <c r="H6" s="11"/>
      <c r="I6" s="11"/>
      <c r="J6" s="11"/>
      <c r="K6" s="11"/>
      <c r="L6" s="14"/>
    </row>
    <row r="7" spans="1:12">
      <c r="A7" s="86" t="str">
        <f>+A6</f>
        <v>012-0507</v>
      </c>
      <c r="B7" s="51">
        <v>2</v>
      </c>
      <c r="C7" s="30"/>
      <c r="D7" s="44"/>
      <c r="E7" s="21" t="s">
        <v>52</v>
      </c>
      <c r="F7" s="2"/>
      <c r="G7" s="2"/>
      <c r="H7" s="2"/>
      <c r="I7" s="2"/>
      <c r="J7" s="2"/>
      <c r="K7" s="2"/>
      <c r="L7" s="15"/>
    </row>
    <row r="8" spans="1:12">
      <c r="A8" s="86" t="str">
        <f>+A7</f>
        <v>012-0507</v>
      </c>
      <c r="B8" s="51">
        <v>3</v>
      </c>
      <c r="C8" s="30"/>
      <c r="D8" s="44"/>
      <c r="E8" s="21" t="s">
        <v>53</v>
      </c>
      <c r="F8" s="2"/>
      <c r="G8" s="2"/>
      <c r="H8" s="2"/>
      <c r="I8" s="2"/>
      <c r="J8" s="2"/>
      <c r="K8" s="2"/>
      <c r="L8" s="15"/>
    </row>
    <row r="9" spans="1:12">
      <c r="A9" s="86" t="str">
        <f>+A8</f>
        <v>012-0507</v>
      </c>
      <c r="B9" s="51">
        <v>4</v>
      </c>
      <c r="C9" s="30"/>
      <c r="D9" s="44"/>
      <c r="E9" s="21" t="s">
        <v>54</v>
      </c>
      <c r="F9" s="2"/>
      <c r="G9" s="2"/>
      <c r="H9" s="2"/>
      <c r="I9" s="2"/>
      <c r="J9" s="2"/>
      <c r="K9" s="2"/>
      <c r="L9" s="15"/>
    </row>
    <row r="10" spans="1:12" ht="15.75" thickBot="1">
      <c r="A10" s="87" t="str">
        <f>+A9</f>
        <v>012-0507</v>
      </c>
      <c r="B10" s="52">
        <v>5</v>
      </c>
      <c r="C10" s="31"/>
      <c r="D10" s="42"/>
      <c r="E10" s="39" t="s">
        <v>55</v>
      </c>
      <c r="F10" s="12"/>
      <c r="G10" s="12"/>
      <c r="H10" s="12"/>
      <c r="I10" s="12"/>
      <c r="J10" s="12"/>
      <c r="K10" s="12"/>
      <c r="L10" s="13"/>
    </row>
    <row r="11" spans="1:12" ht="15.75" thickBot="1">
      <c r="A11" s="88" t="s">
        <v>27</v>
      </c>
      <c r="B11" s="43">
        <v>1</v>
      </c>
      <c r="C11" s="40" t="s">
        <v>34</v>
      </c>
      <c r="D11" s="41" t="s">
        <v>43</v>
      </c>
      <c r="E11" s="70" t="s">
        <v>56</v>
      </c>
      <c r="F11" s="10"/>
      <c r="G11" s="10"/>
      <c r="H11" s="10"/>
      <c r="I11" s="10"/>
      <c r="J11" s="10"/>
      <c r="K11" s="10"/>
      <c r="L11" s="20"/>
    </row>
    <row r="12" spans="1:12" ht="15.75" thickBot="1">
      <c r="A12" s="88" t="s">
        <v>28</v>
      </c>
      <c r="B12" s="43">
        <v>1</v>
      </c>
      <c r="C12" s="40" t="s">
        <v>35</v>
      </c>
      <c r="D12" s="44" t="s">
        <v>44</v>
      </c>
      <c r="E12" s="70" t="s">
        <v>57</v>
      </c>
      <c r="F12" s="10"/>
      <c r="G12" s="10"/>
      <c r="H12" s="10"/>
      <c r="I12" s="10"/>
      <c r="J12" s="10"/>
      <c r="K12" s="10"/>
      <c r="L12" s="20"/>
    </row>
    <row r="13" spans="1:12" ht="15.75" thickBot="1">
      <c r="A13" s="88" t="s">
        <v>29</v>
      </c>
      <c r="B13" s="43">
        <v>1</v>
      </c>
      <c r="C13" s="71" t="s">
        <v>36</v>
      </c>
      <c r="D13" s="41" t="s">
        <v>45</v>
      </c>
      <c r="E13" s="72" t="s">
        <v>56</v>
      </c>
      <c r="F13" s="10"/>
      <c r="G13" s="10"/>
      <c r="H13" s="10"/>
      <c r="I13" s="10"/>
      <c r="J13" s="10"/>
      <c r="K13" s="10"/>
      <c r="L13" s="20"/>
    </row>
    <row r="14" spans="1:12" ht="16.5">
      <c r="A14" s="48" t="s">
        <v>30</v>
      </c>
      <c r="B14" s="45" t="s">
        <v>96</v>
      </c>
      <c r="C14" s="32" t="s">
        <v>37</v>
      </c>
      <c r="D14" s="92" t="s">
        <v>45</v>
      </c>
      <c r="E14" s="93" t="s">
        <v>58</v>
      </c>
      <c r="F14" s="11"/>
      <c r="G14" s="11"/>
      <c r="H14" s="11"/>
      <c r="I14" s="11"/>
      <c r="J14" s="11"/>
      <c r="K14" s="11"/>
      <c r="L14" s="14"/>
    </row>
    <row r="15" spans="1:12" ht="16.5">
      <c r="A15" s="49" t="str">
        <f>+A14</f>
        <v>012-0714</v>
      </c>
      <c r="B15" s="51" t="s">
        <v>97</v>
      </c>
      <c r="C15" s="46"/>
      <c r="D15" s="51"/>
      <c r="E15" s="53" t="s">
        <v>59</v>
      </c>
      <c r="F15" s="2"/>
      <c r="G15" s="2"/>
      <c r="H15" s="2"/>
      <c r="I15" s="2"/>
      <c r="J15" s="2"/>
      <c r="K15" s="2"/>
      <c r="L15" s="15"/>
    </row>
    <row r="16" spans="1:12" ht="16.5">
      <c r="A16" s="49" t="str">
        <f t="shared" ref="A16:A26" si="0">+A15</f>
        <v>012-0714</v>
      </c>
      <c r="B16" s="51" t="s">
        <v>98</v>
      </c>
      <c r="C16" s="46"/>
      <c r="D16" s="51"/>
      <c r="E16" s="53" t="s">
        <v>60</v>
      </c>
      <c r="F16" s="2"/>
      <c r="G16" s="2"/>
      <c r="H16" s="2"/>
      <c r="I16" s="2"/>
      <c r="J16" s="2"/>
      <c r="K16" s="2"/>
      <c r="L16" s="15"/>
    </row>
    <row r="17" spans="1:12" ht="16.5">
      <c r="A17" s="49" t="str">
        <f t="shared" si="0"/>
        <v>012-0714</v>
      </c>
      <c r="B17" s="51" t="s">
        <v>104</v>
      </c>
      <c r="C17" s="46"/>
      <c r="D17" s="51"/>
      <c r="E17" s="53" t="s">
        <v>61</v>
      </c>
      <c r="F17" s="2"/>
      <c r="G17" s="2"/>
      <c r="H17" s="2"/>
      <c r="I17" s="2"/>
      <c r="J17" s="2"/>
      <c r="K17" s="2"/>
      <c r="L17" s="15"/>
    </row>
    <row r="18" spans="1:12" ht="16.5">
      <c r="A18" s="49" t="str">
        <f t="shared" si="0"/>
        <v>012-0714</v>
      </c>
      <c r="B18" s="51" t="s">
        <v>99</v>
      </c>
      <c r="C18" s="46"/>
      <c r="D18" s="51"/>
      <c r="E18" s="53" t="s">
        <v>62</v>
      </c>
      <c r="F18" s="2"/>
      <c r="G18" s="2"/>
      <c r="H18" s="2"/>
      <c r="I18" s="2"/>
      <c r="J18" s="2"/>
      <c r="K18" s="2"/>
      <c r="L18" s="15"/>
    </row>
    <row r="19" spans="1:12" ht="16.5">
      <c r="A19" s="49" t="str">
        <f t="shared" si="0"/>
        <v>012-0714</v>
      </c>
      <c r="B19" s="51" t="s">
        <v>100</v>
      </c>
      <c r="C19" s="46"/>
      <c r="D19" s="51"/>
      <c r="E19" s="53" t="s">
        <v>63</v>
      </c>
      <c r="F19" s="2"/>
      <c r="G19" s="2"/>
      <c r="H19" s="2"/>
      <c r="I19" s="2"/>
      <c r="J19" s="2"/>
      <c r="K19" s="2"/>
      <c r="L19" s="15"/>
    </row>
    <row r="20" spans="1:12" ht="16.5">
      <c r="A20" s="49" t="str">
        <f t="shared" si="0"/>
        <v>012-0714</v>
      </c>
      <c r="B20" s="51" t="s">
        <v>101</v>
      </c>
      <c r="C20" s="46"/>
      <c r="D20" s="51"/>
      <c r="E20" s="53" t="s">
        <v>64</v>
      </c>
      <c r="F20" s="2"/>
      <c r="G20" s="2"/>
      <c r="H20" s="2"/>
      <c r="I20" s="2"/>
      <c r="J20" s="2"/>
      <c r="K20" s="2"/>
      <c r="L20" s="15"/>
    </row>
    <row r="21" spans="1:12" ht="16.5">
      <c r="A21" s="49" t="str">
        <f t="shared" si="0"/>
        <v>012-0714</v>
      </c>
      <c r="B21" s="51" t="s">
        <v>102</v>
      </c>
      <c r="C21" s="46"/>
      <c r="D21" s="51"/>
      <c r="E21" s="53" t="s">
        <v>65</v>
      </c>
      <c r="F21" s="2"/>
      <c r="G21" s="2"/>
      <c r="H21" s="2"/>
      <c r="I21" s="2"/>
      <c r="J21" s="2"/>
      <c r="K21" s="2"/>
      <c r="L21" s="15"/>
    </row>
    <row r="22" spans="1:12" ht="16.5">
      <c r="A22" s="49" t="str">
        <f t="shared" si="0"/>
        <v>012-0714</v>
      </c>
      <c r="B22" s="51" t="s">
        <v>103</v>
      </c>
      <c r="C22" s="46"/>
      <c r="D22" s="51"/>
      <c r="E22" s="53" t="s">
        <v>66</v>
      </c>
      <c r="F22" s="2"/>
      <c r="G22" s="2"/>
      <c r="H22" s="2"/>
      <c r="I22" s="2"/>
      <c r="J22" s="2"/>
      <c r="K22" s="2"/>
      <c r="L22" s="15"/>
    </row>
    <row r="23" spans="1:12" ht="17.25" thickBot="1">
      <c r="A23" s="49" t="str">
        <f t="shared" si="0"/>
        <v>012-0714</v>
      </c>
      <c r="B23" s="52" t="s">
        <v>109</v>
      </c>
      <c r="C23" s="47"/>
      <c r="D23" s="52"/>
      <c r="E23" s="54" t="s">
        <v>67</v>
      </c>
      <c r="F23" s="12"/>
      <c r="G23" s="12"/>
      <c r="H23" s="12"/>
      <c r="I23" s="12"/>
      <c r="J23" s="12"/>
      <c r="K23" s="12"/>
      <c r="L23" s="13"/>
    </row>
    <row r="24" spans="1:12">
      <c r="A24" s="48" t="s">
        <v>31</v>
      </c>
      <c r="B24" s="45">
        <v>1</v>
      </c>
      <c r="C24" s="32" t="s">
        <v>38</v>
      </c>
      <c r="D24" s="50" t="s">
        <v>46</v>
      </c>
      <c r="E24" s="73" t="s">
        <v>68</v>
      </c>
      <c r="F24" s="11"/>
      <c r="G24" s="11"/>
      <c r="H24" s="11"/>
      <c r="I24" s="11"/>
      <c r="J24" s="11"/>
      <c r="K24" s="11"/>
      <c r="L24" s="14"/>
    </row>
    <row r="25" spans="1:12">
      <c r="A25" s="49" t="str">
        <f t="shared" si="0"/>
        <v>012-0715</v>
      </c>
      <c r="B25" s="51">
        <v>2</v>
      </c>
      <c r="C25" s="46"/>
      <c r="D25" s="51"/>
      <c r="E25" s="56" t="s">
        <v>69</v>
      </c>
      <c r="F25" s="2"/>
      <c r="G25" s="2"/>
      <c r="H25" s="2"/>
      <c r="I25" s="2"/>
      <c r="J25" s="2"/>
      <c r="K25" s="2"/>
      <c r="L25" s="15"/>
    </row>
    <row r="26" spans="1:12" ht="16.5" thickBot="1">
      <c r="A26" s="49" t="str">
        <f t="shared" si="0"/>
        <v>012-0715</v>
      </c>
      <c r="B26" s="52">
        <v>3</v>
      </c>
      <c r="C26" s="47"/>
      <c r="D26" s="52"/>
      <c r="E26" s="94" t="s">
        <v>70</v>
      </c>
      <c r="F26" s="12"/>
      <c r="G26" s="12"/>
      <c r="H26" s="12"/>
      <c r="I26" s="12"/>
      <c r="J26" s="12"/>
      <c r="K26" s="12"/>
      <c r="L26" s="13"/>
    </row>
    <row r="27" spans="1:12" ht="16.5">
      <c r="A27" s="89" t="s">
        <v>32</v>
      </c>
      <c r="B27" s="45">
        <v>1</v>
      </c>
      <c r="C27" s="74" t="s">
        <v>39</v>
      </c>
      <c r="D27" s="50" t="s">
        <v>44</v>
      </c>
      <c r="E27" s="95" t="s">
        <v>71</v>
      </c>
      <c r="F27" s="11"/>
      <c r="G27" s="11"/>
      <c r="H27" s="11"/>
      <c r="I27" s="11"/>
      <c r="J27" s="11"/>
      <c r="K27" s="11"/>
      <c r="L27" s="14"/>
    </row>
    <row r="28" spans="1:12" ht="16.5">
      <c r="A28" s="86" t="str">
        <f>+A27</f>
        <v>012-0817</v>
      </c>
      <c r="B28" s="51">
        <v>2</v>
      </c>
      <c r="C28" s="75"/>
      <c r="D28" s="51"/>
      <c r="E28" s="57" t="s">
        <v>72</v>
      </c>
      <c r="F28" s="2"/>
      <c r="G28" s="2"/>
      <c r="H28" s="2"/>
      <c r="I28" s="2"/>
      <c r="J28" s="2"/>
      <c r="K28" s="2"/>
      <c r="L28" s="15"/>
    </row>
    <row r="29" spans="1:12" ht="16.5">
      <c r="A29" s="86" t="str">
        <f t="shared" ref="A29:A31" si="1">+A28</f>
        <v>012-0817</v>
      </c>
      <c r="B29" s="51">
        <v>3</v>
      </c>
      <c r="C29" s="75"/>
      <c r="D29" s="51"/>
      <c r="E29" s="57" t="s">
        <v>73</v>
      </c>
      <c r="F29" s="2"/>
      <c r="G29" s="2"/>
      <c r="H29" s="2"/>
      <c r="I29" s="2"/>
      <c r="J29" s="2"/>
      <c r="K29" s="2"/>
      <c r="L29" s="15"/>
    </row>
    <row r="30" spans="1:12" ht="16.5">
      <c r="A30" s="86" t="str">
        <f t="shared" si="1"/>
        <v>012-0817</v>
      </c>
      <c r="B30" s="51">
        <v>4</v>
      </c>
      <c r="C30" s="75"/>
      <c r="D30" s="51"/>
      <c r="E30" s="57" t="s">
        <v>74</v>
      </c>
      <c r="F30" s="2"/>
      <c r="G30" s="2"/>
      <c r="H30" s="2"/>
      <c r="I30" s="2"/>
      <c r="J30" s="2"/>
      <c r="K30" s="2"/>
      <c r="L30" s="15"/>
    </row>
    <row r="31" spans="1:12" ht="17.25" thickBot="1">
      <c r="A31" s="86" t="str">
        <f t="shared" si="1"/>
        <v>012-0817</v>
      </c>
      <c r="B31" s="52">
        <v>5</v>
      </c>
      <c r="C31" s="76"/>
      <c r="D31" s="52"/>
      <c r="E31" s="96" t="s">
        <v>75</v>
      </c>
      <c r="F31" s="12"/>
      <c r="G31" s="12"/>
      <c r="H31" s="12"/>
      <c r="I31" s="12"/>
      <c r="J31" s="12"/>
      <c r="K31" s="12"/>
      <c r="L31" s="13"/>
    </row>
    <row r="32" spans="1:12" ht="15.75">
      <c r="A32" s="38" t="s">
        <v>105</v>
      </c>
      <c r="B32" s="45">
        <v>1</v>
      </c>
      <c r="C32" s="32" t="s">
        <v>76</v>
      </c>
      <c r="D32" s="45"/>
      <c r="E32" s="97" t="s">
        <v>77</v>
      </c>
      <c r="F32" s="11"/>
      <c r="G32" s="11"/>
      <c r="H32" s="11"/>
      <c r="I32" s="11"/>
      <c r="J32" s="11"/>
      <c r="K32" s="11"/>
      <c r="L32" s="14"/>
    </row>
    <row r="33" spans="1:12" ht="16.5" thickBot="1">
      <c r="A33" s="87" t="str">
        <f>+A32</f>
        <v>012-0610</v>
      </c>
      <c r="B33" s="52">
        <v>2</v>
      </c>
      <c r="C33" s="76"/>
      <c r="D33" s="52"/>
      <c r="E33" s="94" t="s">
        <v>78</v>
      </c>
      <c r="F33" s="12"/>
      <c r="G33" s="12"/>
      <c r="H33" s="12"/>
      <c r="I33" s="12"/>
      <c r="J33" s="12"/>
      <c r="K33" s="12"/>
      <c r="L33" s="13"/>
    </row>
    <row r="34" spans="1:12">
      <c r="A34" s="48" t="s">
        <v>106</v>
      </c>
      <c r="B34" s="45">
        <v>1</v>
      </c>
      <c r="C34" s="77" t="s">
        <v>79</v>
      </c>
      <c r="D34" s="45" t="s">
        <v>42</v>
      </c>
      <c r="E34" s="78" t="s">
        <v>80</v>
      </c>
      <c r="F34" s="11"/>
      <c r="G34" s="11"/>
      <c r="H34" s="11"/>
      <c r="I34" s="11"/>
      <c r="J34" s="11"/>
      <c r="K34" s="11"/>
      <c r="L34" s="14"/>
    </row>
    <row r="35" spans="1:12" ht="15.75">
      <c r="A35" s="49" t="str">
        <f>+A34</f>
        <v>012-0919</v>
      </c>
      <c r="B35" s="51">
        <v>2</v>
      </c>
      <c r="C35" s="79"/>
      <c r="D35" s="51"/>
      <c r="E35" s="60" t="s">
        <v>81</v>
      </c>
      <c r="F35" s="2"/>
      <c r="G35" s="2"/>
      <c r="H35" s="2"/>
      <c r="I35" s="2"/>
      <c r="J35" s="2"/>
      <c r="K35" s="2"/>
      <c r="L35" s="15"/>
    </row>
    <row r="36" spans="1:12" ht="15.75">
      <c r="A36" s="49" t="str">
        <f t="shared" ref="A36:A39" si="2">+A35</f>
        <v>012-0919</v>
      </c>
      <c r="B36" s="51">
        <v>3</v>
      </c>
      <c r="C36" s="79"/>
      <c r="D36" s="51"/>
      <c r="E36" s="60" t="s">
        <v>82</v>
      </c>
      <c r="F36" s="2"/>
      <c r="G36" s="2"/>
      <c r="H36" s="2"/>
      <c r="I36" s="2"/>
      <c r="J36" s="2"/>
      <c r="K36" s="2"/>
      <c r="L36" s="15"/>
    </row>
    <row r="37" spans="1:12" ht="15.75">
      <c r="A37" s="49" t="str">
        <f t="shared" si="2"/>
        <v>012-0919</v>
      </c>
      <c r="B37" s="51">
        <v>4</v>
      </c>
      <c r="C37" s="79"/>
      <c r="D37" s="51"/>
      <c r="E37" s="60" t="s">
        <v>83</v>
      </c>
      <c r="F37" s="2"/>
      <c r="G37" s="2"/>
      <c r="H37" s="2"/>
      <c r="I37" s="2"/>
      <c r="J37" s="2"/>
      <c r="K37" s="2"/>
      <c r="L37" s="15"/>
    </row>
    <row r="38" spans="1:12" ht="15.75">
      <c r="A38" s="49" t="str">
        <f t="shared" si="2"/>
        <v>012-0919</v>
      </c>
      <c r="B38" s="51">
        <v>5</v>
      </c>
      <c r="C38" s="79"/>
      <c r="D38" s="51"/>
      <c r="E38" s="60" t="s">
        <v>84</v>
      </c>
      <c r="F38" s="2"/>
      <c r="G38" s="2"/>
      <c r="H38" s="2"/>
      <c r="I38" s="2"/>
      <c r="J38" s="2"/>
      <c r="K38" s="2"/>
      <c r="L38" s="15"/>
    </row>
    <row r="39" spans="1:12" ht="16.5" thickBot="1">
      <c r="A39" s="49" t="str">
        <f t="shared" si="2"/>
        <v>012-0919</v>
      </c>
      <c r="B39" s="52">
        <v>6</v>
      </c>
      <c r="C39" s="81"/>
      <c r="D39" s="52"/>
      <c r="E39" s="98" t="s">
        <v>85</v>
      </c>
      <c r="F39" s="12"/>
      <c r="G39" s="12"/>
      <c r="H39" s="12"/>
      <c r="I39" s="12"/>
      <c r="J39" s="12"/>
      <c r="K39" s="12"/>
      <c r="L39" s="13"/>
    </row>
    <row r="40" spans="1:12">
      <c r="A40" s="90" t="s">
        <v>107</v>
      </c>
      <c r="B40" s="45">
        <v>1</v>
      </c>
      <c r="C40" s="82" t="s">
        <v>86</v>
      </c>
      <c r="D40" s="45"/>
      <c r="E40" s="83" t="s">
        <v>87</v>
      </c>
      <c r="F40" s="11"/>
      <c r="G40" s="11"/>
      <c r="H40" s="11"/>
      <c r="I40" s="11"/>
      <c r="J40" s="11"/>
      <c r="K40" s="11"/>
      <c r="L40" s="14"/>
    </row>
    <row r="41" spans="1:12">
      <c r="A41" s="91" t="str">
        <f>+A40</f>
        <v>012-0925</v>
      </c>
      <c r="B41" s="51">
        <v>2</v>
      </c>
      <c r="C41" s="18"/>
      <c r="D41" s="51"/>
      <c r="E41" s="27" t="s">
        <v>88</v>
      </c>
      <c r="F41" s="2"/>
      <c r="G41" s="2"/>
      <c r="H41" s="2"/>
      <c r="I41" s="2"/>
      <c r="J41" s="2"/>
      <c r="K41" s="2"/>
      <c r="L41" s="15"/>
    </row>
    <row r="42" spans="1:12">
      <c r="A42" s="91" t="str">
        <f t="shared" ref="A42:A43" si="3">+A41</f>
        <v>012-0925</v>
      </c>
      <c r="B42" s="51">
        <v>3</v>
      </c>
      <c r="C42" s="18"/>
      <c r="D42" s="51"/>
      <c r="E42" s="27" t="s">
        <v>89</v>
      </c>
      <c r="F42" s="2"/>
      <c r="G42" s="2"/>
      <c r="H42" s="2"/>
      <c r="I42" s="2"/>
      <c r="J42" s="2"/>
      <c r="K42" s="2"/>
      <c r="L42" s="15"/>
    </row>
    <row r="43" spans="1:12" ht="15.75" thickBot="1">
      <c r="A43" s="91" t="str">
        <f t="shared" si="3"/>
        <v>012-0925</v>
      </c>
      <c r="B43" s="52">
        <v>4</v>
      </c>
      <c r="C43" s="19"/>
      <c r="D43" s="52"/>
      <c r="E43" s="80" t="s">
        <v>90</v>
      </c>
      <c r="F43" s="12"/>
      <c r="G43" s="12"/>
      <c r="H43" s="12"/>
      <c r="I43" s="12"/>
      <c r="J43" s="12"/>
      <c r="K43" s="12"/>
      <c r="L43" s="13"/>
    </row>
    <row r="44" spans="1:12">
      <c r="A44" s="90" t="s">
        <v>108</v>
      </c>
      <c r="B44" s="45">
        <v>1</v>
      </c>
      <c r="C44" s="82" t="s">
        <v>91</v>
      </c>
      <c r="D44" s="45" t="s">
        <v>110</v>
      </c>
      <c r="E44" s="83" t="s">
        <v>92</v>
      </c>
      <c r="F44" s="11"/>
      <c r="G44" s="11"/>
      <c r="H44" s="11"/>
      <c r="I44" s="11"/>
      <c r="J44" s="11"/>
      <c r="K44" s="11"/>
      <c r="L44" s="14"/>
    </row>
    <row r="45" spans="1:12">
      <c r="A45" s="91" t="str">
        <f>+A44</f>
        <v>012-1029</v>
      </c>
      <c r="B45" s="51">
        <v>2</v>
      </c>
      <c r="C45" s="18"/>
      <c r="D45" s="33"/>
      <c r="E45" s="27" t="s">
        <v>93</v>
      </c>
      <c r="F45" s="2"/>
      <c r="G45" s="2"/>
      <c r="H45" s="2"/>
      <c r="I45" s="2"/>
      <c r="J45" s="2"/>
      <c r="K45" s="2"/>
      <c r="L45" s="15"/>
    </row>
    <row r="46" spans="1:12">
      <c r="A46" s="91" t="str">
        <f t="shared" ref="A46:A47" si="4">+A45</f>
        <v>012-1029</v>
      </c>
      <c r="B46" s="51">
        <v>3</v>
      </c>
      <c r="C46" s="18"/>
      <c r="D46" s="33"/>
      <c r="E46" s="27" t="s">
        <v>94</v>
      </c>
      <c r="F46" s="2"/>
      <c r="G46" s="2"/>
      <c r="H46" s="2"/>
      <c r="I46" s="2"/>
      <c r="J46" s="2"/>
      <c r="K46" s="2"/>
      <c r="L46" s="15"/>
    </row>
    <row r="47" spans="1:12" ht="15.75" thickBot="1">
      <c r="A47" s="91" t="str">
        <f t="shared" si="4"/>
        <v>012-1029</v>
      </c>
      <c r="B47" s="52">
        <v>4</v>
      </c>
      <c r="C47" s="19"/>
      <c r="D47" s="34"/>
      <c r="E47" s="80" t="s">
        <v>95</v>
      </c>
      <c r="F47" s="12"/>
      <c r="G47" s="12"/>
      <c r="H47" s="12"/>
      <c r="I47" s="12"/>
      <c r="J47" s="12"/>
      <c r="K47" s="12"/>
      <c r="L47" s="13"/>
    </row>
  </sheetData>
  <mergeCells count="1">
    <mergeCell ref="E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I19"/>
  <sheetViews>
    <sheetView workbookViewId="0">
      <selection activeCell="I20" sqref="I20"/>
    </sheetView>
  </sheetViews>
  <sheetFormatPr baseColWidth="10" defaultRowHeight="15"/>
  <cols>
    <col min="1" max="1" width="28" customWidth="1"/>
    <col min="4" max="4" width="13.85546875" bestFit="1" customWidth="1"/>
    <col min="9" max="9" width="18" bestFit="1" customWidth="1"/>
  </cols>
  <sheetData>
    <row r="1" spans="1:9" ht="21">
      <c r="A1" s="128" t="s">
        <v>119</v>
      </c>
      <c r="D1" s="127" t="s">
        <v>120</v>
      </c>
    </row>
    <row r="2" spans="1:9" ht="21">
      <c r="A2" s="108" t="s">
        <v>20</v>
      </c>
      <c r="D2" s="126" t="s">
        <v>2</v>
      </c>
      <c r="I2" s="108" t="s">
        <v>20</v>
      </c>
    </row>
    <row r="3" spans="1:9" ht="21">
      <c r="A3" s="108" t="s">
        <v>21</v>
      </c>
      <c r="D3" s="126" t="s">
        <v>3</v>
      </c>
      <c r="I3" s="108" t="s">
        <v>21</v>
      </c>
    </row>
    <row r="4" spans="1:9" ht="21">
      <c r="A4" s="108" t="s">
        <v>22</v>
      </c>
      <c r="D4" s="126" t="s">
        <v>4</v>
      </c>
      <c r="I4" s="108" t="s">
        <v>22</v>
      </c>
    </row>
    <row r="5" spans="1:9" ht="21">
      <c r="A5" s="108" t="s">
        <v>23</v>
      </c>
      <c r="D5" s="126" t="s">
        <v>5</v>
      </c>
      <c r="I5" s="108" t="s">
        <v>23</v>
      </c>
    </row>
    <row r="6" spans="1:9" ht="21">
      <c r="A6" s="108" t="s">
        <v>24</v>
      </c>
      <c r="D6" s="126" t="s">
        <v>6</v>
      </c>
      <c r="I6" s="108" t="s">
        <v>24</v>
      </c>
    </row>
    <row r="7" spans="1:9" ht="21">
      <c r="A7" s="108" t="s">
        <v>26</v>
      </c>
      <c r="D7" s="126" t="s">
        <v>7</v>
      </c>
      <c r="I7" s="108" t="s">
        <v>26</v>
      </c>
    </row>
    <row r="8" spans="1:9" ht="21">
      <c r="A8" s="108" t="s">
        <v>139</v>
      </c>
      <c r="D8" s="126" t="s">
        <v>8</v>
      </c>
      <c r="I8" s="108" t="s">
        <v>139</v>
      </c>
    </row>
    <row r="9" spans="1:9" ht="21">
      <c r="A9" s="184" t="s">
        <v>142</v>
      </c>
      <c r="D9" s="126" t="s">
        <v>9</v>
      </c>
      <c r="I9" s="184" t="s">
        <v>142</v>
      </c>
    </row>
    <row r="10" spans="1:9" ht="21">
      <c r="A10" s="184" t="s">
        <v>140</v>
      </c>
      <c r="D10" s="126" t="s">
        <v>10</v>
      </c>
      <c r="I10" s="184" t="s">
        <v>140</v>
      </c>
    </row>
    <row r="11" spans="1:9" ht="21">
      <c r="A11" s="108" t="s">
        <v>138</v>
      </c>
      <c r="D11" s="126" t="s">
        <v>0</v>
      </c>
      <c r="I11" s="108" t="s">
        <v>138</v>
      </c>
    </row>
    <row r="12" spans="1:9" ht="21">
      <c r="A12" s="108" t="s">
        <v>25</v>
      </c>
      <c r="D12" s="126" t="s">
        <v>11</v>
      </c>
      <c r="I12" s="108" t="s">
        <v>25</v>
      </c>
    </row>
    <row r="13" spans="1:9" ht="21">
      <c r="A13" s="108" t="s">
        <v>135</v>
      </c>
      <c r="D13" s="126" t="s">
        <v>12</v>
      </c>
      <c r="I13" s="108" t="s">
        <v>135</v>
      </c>
    </row>
    <row r="14" spans="1:9" ht="21">
      <c r="A14" s="108" t="s">
        <v>136</v>
      </c>
      <c r="I14" s="108" t="s">
        <v>136</v>
      </c>
    </row>
    <row r="15" spans="1:9" ht="21">
      <c r="A15" s="108" t="s">
        <v>112</v>
      </c>
      <c r="I15" s="108" t="s">
        <v>112</v>
      </c>
    </row>
    <row r="16" spans="1:9" ht="21">
      <c r="A16" s="184" t="s">
        <v>143</v>
      </c>
      <c r="I16" s="184" t="s">
        <v>143</v>
      </c>
    </row>
    <row r="17" spans="1:9" ht="21">
      <c r="A17" s="108" t="s">
        <v>137</v>
      </c>
      <c r="I17" s="108" t="s">
        <v>137</v>
      </c>
    </row>
    <row r="18" spans="1:9" ht="21">
      <c r="A18" s="184" t="s">
        <v>141</v>
      </c>
      <c r="I18" s="184" t="s">
        <v>141</v>
      </c>
    </row>
    <row r="19" spans="1:9" ht="21">
      <c r="A19" s="184" t="s">
        <v>144</v>
      </c>
      <c r="I19" s="184" t="s">
        <v>144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Resumen de Proyectos</vt:lpstr>
      <vt:lpstr>Trabajadores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Queso</dc:creator>
  <cp:lastModifiedBy>Queso</cp:lastModifiedBy>
  <dcterms:created xsi:type="dcterms:W3CDTF">2012-10-25T20:37:39Z</dcterms:created>
  <dcterms:modified xsi:type="dcterms:W3CDTF">2014-10-02T14:36:58Z</dcterms:modified>
</cp:coreProperties>
</file>